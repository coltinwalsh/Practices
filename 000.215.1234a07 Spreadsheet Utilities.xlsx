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U23770\OneDrive - Fluor Corporation\Documents\Task (Rigid Fdn Update)\Publication Review\Returned\"/>
    </mc:Choice>
  </mc:AlternateContent>
  <xr:revisionPtr revIDLastSave="0" documentId="13_ncr:1_{5AE7C4C3-70D8-4CA5-BE2A-3D83536CAC76}" xr6:coauthVersionLast="47" xr6:coauthVersionMax="47" xr10:uidLastSave="{00000000-0000-0000-0000-000000000000}"/>
  <bookViews>
    <workbookView xWindow="3150" yWindow="870" windowWidth="23295" windowHeight="16335" tabRatio="504" xr2:uid="{00000000-000D-0000-FFFF-FFFF00000000}"/>
  </bookViews>
  <sheets>
    <sheet name="Phased Loading" sheetId="22" r:id="rId1"/>
    <sheet name="Human Tolerance" sheetId="26" r:id="rId2"/>
  </sheets>
  <externalReferences>
    <externalReference r:id="rId3"/>
  </externalReferences>
  <definedNames>
    <definedName name="Align">[1]Input!$C$22</definedName>
    <definedName name="BlockMass">[1]Input!$B$38:$J$47</definedName>
    <definedName name="Centrifugal">[1]Input!$C$83</definedName>
    <definedName name="ComputeModulus">[1]Input!$C$13</definedName>
    <definedName name="embed">[1]Input!#REF!</definedName>
    <definedName name="FreqUnits">[1]Input!$C$11</definedName>
    <definedName name="gravity">[1]Mass!$D$89</definedName>
    <definedName name="metric">[1]Input!$C$9</definedName>
    <definedName name="PointMass">[1]Input!$B$54:$J$58</definedName>
    <definedName name="Udense">[1]Notes!$O$61</definedName>
    <definedName name="Uforce">[1]Notes!$O$59</definedName>
    <definedName name="Ulength">[1]Notes!$O$58</definedName>
    <definedName name="Umass">[1]Notes!$O$65</definedName>
    <definedName name="Umassmom">[1]Notes!$O$66</definedName>
    <definedName name="Umoment">[1]Notes!$O$60</definedName>
    <definedName name="Uspeed">[1]Notes!$O$63</definedName>
    <definedName name="Ustress">[1]Notes!$O$62</definedName>
    <definedName name="VeletsosRange">'[1]I-Veletsos'!#REF!</definedName>
    <definedName name="VeletsosStepCount">'[1]I-Veletsos'!#REF!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6" l="1"/>
  <c r="D43" i="26" s="1"/>
  <c r="D12" i="26"/>
  <c r="E30" i="26" s="1"/>
  <c r="E11" i="26"/>
  <c r="D13" i="26"/>
  <c r="H65" i="22"/>
  <c r="H64" i="22"/>
  <c r="C64" i="22"/>
  <c r="H63" i="22"/>
  <c r="D24" i="26" l="1"/>
  <c r="D30" i="26" s="1"/>
  <c r="D42" i="26"/>
  <c r="E47" i="26"/>
  <c r="E48" i="26"/>
  <c r="E49" i="26"/>
  <c r="D34" i="26"/>
  <c r="D35" i="26" s="1"/>
  <c r="D49" i="26" s="1"/>
  <c r="D55" i="26" s="1"/>
  <c r="E35" i="26"/>
  <c r="E34" i="26"/>
  <c r="E18" i="26"/>
  <c r="E19" i="26"/>
  <c r="E20" i="26"/>
  <c r="E28" i="26"/>
  <c r="E29" i="26"/>
  <c r="D28" i="26"/>
  <c r="D29" i="26"/>
  <c r="H41" i="22"/>
  <c r="H40" i="22"/>
  <c r="H39" i="22"/>
  <c r="D55" i="22"/>
  <c r="D54" i="22"/>
  <c r="D40" i="22"/>
  <c r="D41" i="22"/>
  <c r="D39" i="22"/>
  <c r="C41" i="22"/>
  <c r="C39" i="22"/>
  <c r="C40" i="22"/>
  <c r="D47" i="26" l="1"/>
  <c r="D53" i="26" s="1"/>
  <c r="D48" i="26"/>
  <c r="D54" i="26" s="1"/>
  <c r="D84" i="22" l="1"/>
  <c r="F72" i="22"/>
  <c r="D83" i="22"/>
  <c r="F71" i="22"/>
  <c r="D82" i="22"/>
  <c r="F70" i="22"/>
  <c r="D80" i="22"/>
  <c r="D72" i="22"/>
  <c r="D79" i="22"/>
  <c r="D71" i="22"/>
  <c r="D78" i="22"/>
  <c r="D70" i="22"/>
  <c r="D65" i="22"/>
  <c r="D64" i="22"/>
  <c r="D63" i="22"/>
  <c r="D61" i="22"/>
  <c r="D60" i="22"/>
  <c r="D59" i="22"/>
  <c r="F55" i="22"/>
  <c r="F54" i="22"/>
  <c r="F53" i="22"/>
  <c r="D53" i="22"/>
  <c r="E48" i="22"/>
  <c r="E55" i="22" s="1"/>
  <c r="E47" i="22"/>
  <c r="E54" i="22" s="1"/>
  <c r="E46" i="22"/>
  <c r="E53" i="22" s="1"/>
  <c r="C48" i="22"/>
  <c r="C47" i="22"/>
  <c r="C54" i="22" s="1"/>
  <c r="C46" i="22"/>
  <c r="C53" i="22" s="1"/>
  <c r="F40" i="22"/>
  <c r="F38" i="22"/>
  <c r="D38" i="22"/>
  <c r="C38" i="22"/>
  <c r="D32" i="22"/>
  <c r="D31" i="22"/>
  <c r="D30" i="22"/>
  <c r="D27" i="22"/>
  <c r="D26" i="22"/>
  <c r="D25" i="22"/>
  <c r="D22" i="22"/>
  <c r="D21" i="22"/>
  <c r="D20" i="22"/>
  <c r="D17" i="22"/>
  <c r="D16" i="22"/>
  <c r="D15" i="22"/>
  <c r="D12" i="22"/>
  <c r="D11" i="22"/>
  <c r="C55" i="22" l="1"/>
  <c r="C61" i="22" s="1"/>
  <c r="F39" i="22"/>
  <c r="C65" i="22" s="1"/>
  <c r="C59" i="22"/>
  <c r="C60" i="22"/>
  <c r="F41" i="22"/>
  <c r="E71" i="22" l="1"/>
  <c r="C63" i="22"/>
  <c r="C71" i="22"/>
  <c r="C70" i="22"/>
  <c r="C78" i="22" s="1"/>
  <c r="E78" i="22" s="1"/>
  <c r="C72" i="22"/>
  <c r="E72" i="22"/>
  <c r="C80" i="22" l="1"/>
  <c r="E80" i="22" s="1"/>
  <c r="C79" i="22"/>
  <c r="E79" i="22" s="1"/>
  <c r="E70" i="22"/>
  <c r="C84" i="22"/>
  <c r="E84" i="22" s="1"/>
  <c r="C83" i="22"/>
  <c r="E83" i="22" s="1"/>
  <c r="C82" i="22" l="1"/>
  <c r="E82" i="22" s="1"/>
</calcChain>
</file>

<file path=xl/sharedStrings.xml><?xml version="1.0" encoding="utf-8"?>
<sst xmlns="http://schemas.openxmlformats.org/spreadsheetml/2006/main" count="205" uniqueCount="162">
  <si>
    <t>-</t>
  </si>
  <si>
    <t>rad/s</t>
  </si>
  <si>
    <t>rad</t>
  </si>
  <si>
    <t>Hz</t>
  </si>
  <si>
    <t>machine speed, MS</t>
  </si>
  <si>
    <t>Input Data: (3D VIEW coordinate system)</t>
  </si>
  <si>
    <t>Options:</t>
  </si>
  <si>
    <t>Metric?</t>
  </si>
  <si>
    <t>Enter 1 for imperial (ft, lb), or anything else for metric (m, N).</t>
  </si>
  <si>
    <t>Quadratic?</t>
  </si>
  <si>
    <t>Center of Gravity:</t>
  </si>
  <si>
    <t>X coordinate, CGx</t>
  </si>
  <si>
    <t>Y coordinate, CGy</t>
  </si>
  <si>
    <t>Z coordinate, CGz</t>
  </si>
  <si>
    <t>Point of Load Application:</t>
  </si>
  <si>
    <t>X coordinate, Lx</t>
  </si>
  <si>
    <t>Y coordinate, Ly</t>
  </si>
  <si>
    <t>Z coordinate, Lz</t>
  </si>
  <si>
    <t>Forces:</t>
  </si>
  <si>
    <t>Magnitude</t>
  </si>
  <si>
    <t>Phase Angle</t>
  </si>
  <si>
    <t>X force, Fx</t>
  </si>
  <si>
    <t>deg</t>
  </si>
  <si>
    <t>Y force, Fy</t>
  </si>
  <si>
    <t>Z force, Fz</t>
  </si>
  <si>
    <t>Moments:</t>
  </si>
  <si>
    <t>X moment, Mx</t>
  </si>
  <si>
    <t>Y moment, My</t>
  </si>
  <si>
    <t>Z moment, Mz</t>
  </si>
  <si>
    <t>Calculation: (3D VIEW coordinate system)</t>
  </si>
  <si>
    <t>Distances to CG:</t>
  </si>
  <si>
    <t>CG</t>
  </si>
  <si>
    <t>PoA</t>
  </si>
  <si>
    <t>CG - PoA</t>
  </si>
  <si>
    <t>X axis</t>
  </si>
  <si>
    <t>Lx =</t>
  </si>
  <si>
    <t>Y axis</t>
  </si>
  <si>
    <t>Ly =</t>
  </si>
  <si>
    <t>Z axis</t>
  </si>
  <si>
    <t>Lz =</t>
  </si>
  <si>
    <t>Phase Angles: (radians)</t>
  </si>
  <si>
    <t>= (degrees) * 180 / pi</t>
  </si>
  <si>
    <t>Complex Loading: (at point of application)</t>
  </si>
  <si>
    <t>= (mag x cos(phase)) + i (mag * sin(phase))</t>
  </si>
  <si>
    <t>Complex Loading: (at center of gravity)</t>
  </si>
  <si>
    <t>magnitude</t>
  </si>
  <si>
    <t>phase</t>
  </si>
  <si>
    <t>X force</t>
  </si>
  <si>
    <t>= Fx</t>
  </si>
  <si>
    <t>Y force</t>
  </si>
  <si>
    <t>= Fy</t>
  </si>
  <si>
    <t>Z force</t>
  </si>
  <si>
    <t>= Fz</t>
  </si>
  <si>
    <t>X moment</t>
  </si>
  <si>
    <t>= Mx + Fy Lz - Fz Ly</t>
  </si>
  <si>
    <t>Y moment</t>
  </si>
  <si>
    <t>= My - Fx Lz + Fz Lx</t>
  </si>
  <si>
    <t>Z moment</t>
  </si>
  <si>
    <t>= Mz + Fx Ly - Fy Lx</t>
  </si>
  <si>
    <t>Results: (DYNA 6 coordinate system)</t>
  </si>
  <si>
    <t>Phased Dynamic Loading Calculation</t>
  </si>
  <si>
    <t>Title:</t>
  </si>
  <si>
    <t>For Dyna 6 Coordinates, reverse the sign of Z force and Z moment</t>
  </si>
  <si>
    <t>Enter 1 for quadratic loads (mass x eccentricity)</t>
  </si>
  <si>
    <t>General Case</t>
  </si>
  <si>
    <t>Force</t>
  </si>
  <si>
    <t>Moment</t>
  </si>
  <si>
    <t>Human Tolerance Calculation (using ISO 2631 Health Guidance Caution Zone)</t>
  </si>
  <si>
    <t>Category = health</t>
  </si>
  <si>
    <t>(as opposed to comfort, perception, or motion sickness)</t>
  </si>
  <si>
    <t>Type = whole body</t>
  </si>
  <si>
    <t>(as opposed to hand transmitted)</t>
  </si>
  <si>
    <t>Exposure = intermittent</t>
  </si>
  <si>
    <t>(as opposed to continuous)</t>
  </si>
  <si>
    <t>ISO 2631-1 (1997)</t>
  </si>
  <si>
    <t>Mechanical Vibration &amp; Shock - Evaluation of Human Exposure to Whole-Body Vibration</t>
  </si>
  <si>
    <t>Design of Floors for Vibration: A New Approach</t>
  </si>
  <si>
    <t>Steel Construction Institute</t>
  </si>
  <si>
    <t>Input data:</t>
  </si>
  <si>
    <t>daily exposure, DE =</t>
  </si>
  <si>
    <t>seconds</t>
  </si>
  <si>
    <t>10 minutes = 600 s</t>
  </si>
  <si>
    <t>1 hours = 3600 s</t>
  </si>
  <si>
    <t>8 hours - 28,800 s</t>
  </si>
  <si>
    <t>Calculated Zero-to-Peak Deformation:</t>
  </si>
  <si>
    <t>24 hours = 86,400 s</t>
  </si>
  <si>
    <t>X axis (horiz), Dx</t>
  </si>
  <si>
    <t>Y axis (horiz), Dy</t>
  </si>
  <si>
    <t>Z axis (vertical), Dz</t>
  </si>
  <si>
    <t>Calculated RMS Accelerations</t>
  </si>
  <si>
    <t>circular frequency, f</t>
  </si>
  <si>
    <t>= (MS)(2 pi)</t>
  </si>
  <si>
    <t>Calculated RMS Acceleration:</t>
  </si>
  <si>
    <t>X axis (horiz), Ax rms c</t>
  </si>
  <si>
    <t>Y axis (horiz), Ay rms c</t>
  </si>
  <si>
    <t>Z axis (vertical), Az rms c</t>
  </si>
  <si>
    <t>Permissible RMS acceleration</t>
  </si>
  <si>
    <t>ISO 2631-1, Section B.3.1</t>
  </si>
  <si>
    <t>A rms =</t>
  </si>
  <si>
    <t>Orientation/Direction Factors</t>
  </si>
  <si>
    <t>ISO 2631-1, Section 7.2.2</t>
  </si>
  <si>
    <t>horizontal, kx, ky</t>
  </si>
  <si>
    <t>vertical, kz</t>
  </si>
  <si>
    <t>Frequency Weighting Factors</t>
  </si>
  <si>
    <t>MS</t>
  </si>
  <si>
    <t>Wd</t>
  </si>
  <si>
    <t>Wb</t>
  </si>
  <si>
    <t>1 to 2</t>
  </si>
  <si>
    <t>horizontal, Wd</t>
  </si>
  <si>
    <t>2 to 5</t>
  </si>
  <si>
    <t>2 / MS</t>
  </si>
  <si>
    <t>MS / 5</t>
  </si>
  <si>
    <t>vertical, Wb</t>
  </si>
  <si>
    <t>6 to 16</t>
  </si>
  <si>
    <t>above 16</t>
  </si>
  <si>
    <t>16 / MS</t>
  </si>
  <si>
    <t>X axis (horiz), Ax rms p</t>
  </si>
  <si>
    <t>= (A rms) / (kx Wd)</t>
  </si>
  <si>
    <t>Y axis (horiz), Ay rms p</t>
  </si>
  <si>
    <t>= (A rms) / (ky Wd)</t>
  </si>
  <si>
    <t>Z axis (vertical), Az rms p</t>
  </si>
  <si>
    <t>= (A rms) / (kz Wb)</t>
  </si>
  <si>
    <t>Utilization (calculated / permissible)</t>
  </si>
  <si>
    <t>X axis (horiz)</t>
  </si>
  <si>
    <t>Y axis (horiz)</t>
  </si>
  <si>
    <t>Z axis (vertical)</t>
  </si>
  <si>
    <t>Step 1: Launch Dyna 6 to start a new design.</t>
  </si>
  <si>
    <t>Step 2: Enter the 3D VIEW sub-program and add mass information. It is not necessary to enter force information.</t>
  </si>
  <si>
    <t>designated cells.</t>
  </si>
  <si>
    <t>The purpose of this calculation is to determine Dyna 6 input based on loads, phasing, and location coordinates.</t>
  </si>
  <si>
    <t>This capability is not fully implemented in Dyna 6.</t>
  </si>
  <si>
    <t>Step 5: Use the result cells below to enter data into Dyna 6.</t>
  </si>
  <si>
    <t>HOLD for confirmation of DYNA coordinates.</t>
  </si>
  <si>
    <t>in the designated cells of this spreadsheet.</t>
  </si>
  <si>
    <t>Step 3: Execute the 3D VIEW calculation. From the result (see below example), enter the center of gravity coordinates</t>
  </si>
  <si>
    <t>Step 4: From the design calculation, determine the forces, moments, and locations. Enter this input data into the</t>
  </si>
  <si>
    <t>The purpose of this calculation is to determine a human tolerance to intermittent vibrations from vibratory machinery.</t>
  </si>
  <si>
    <t>The chart provided in the guideline is for continuous exposure to vibrations.</t>
  </si>
  <si>
    <t>Step 1: Enter the estimate daily exposure and machine speed in the designated input data cells.</t>
  </si>
  <si>
    <t>Step 2: From a Dyna 6 analysis, enter the zero-to-peak deformations from a resultant location.</t>
  </si>
  <si>
    <t>Step 3: Retrieve the permissible RMS acceleration and utilization from the designated cells below.</t>
  </si>
  <si>
    <t>Re-verfiy below equations</t>
  </si>
  <si>
    <t>PoA - CG</t>
  </si>
  <si>
    <t>= Mx - Fy Lz + Fz Ly</t>
  </si>
  <si>
    <t>= My + Fx Lz - Fz Lx</t>
  </si>
  <si>
    <t>= Mz - Fx Ly + Fy Lx</t>
  </si>
  <si>
    <t>(range is 1 s to 24 h)</t>
  </si>
  <si>
    <t>Part 1 General Requirements</t>
  </si>
  <si>
    <t>SCI P354 (revised edition: Feb 2009)</t>
  </si>
  <si>
    <t>= (1/2) sqrt(2) (Dx)(f)^2</t>
  </si>
  <si>
    <t>In lieu of ISO 2631, use SCI P354, Equations 22 &amp; 23</t>
  </si>
  <si>
    <t>= (1/2) sqrt(2) (Dy)(f)^2</t>
  </si>
  <si>
    <t>= (1/2) sqrt(2) (Dz)(f)^2</t>
  </si>
  <si>
    <t>References:</t>
  </si>
  <si>
    <t>Suggested Sequence:</t>
  </si>
  <si>
    <t>Exposure Values:</t>
  </si>
  <si>
    <t>Units of Measure</t>
  </si>
  <si>
    <t>if DE &lt;= 10 minutes, then A rms = Amax</t>
  </si>
  <si>
    <t>if DE &gt; 10 minutes, then Arms = (Amax) sqrt [600 / exposure ]</t>
  </si>
  <si>
    <t>Amax</t>
  </si>
  <si>
    <t>Guideline 000.215.1234 (20May2025)</t>
  </si>
  <si>
    <t>Guideline 000.215.1234 (26May2025)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</si>
</sst>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E+00"/>
    <numFmt numFmtId="167" formatCode="0.0"/>
    <numFmt numFmtId="168" formatCode="#,##0.0"/>
    <numFmt numFmtId="169" formatCode="0.0%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b/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3" tint="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4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4" fillId="0" borderId="0"/>
    <xf numFmtId="0" fontId="13" fillId="0" borderId="0"/>
    <xf numFmtId="0" fontId="12" fillId="0" borderId="0"/>
    <xf numFmtId="0" fontId="7" fillId="0" borderId="0"/>
  </cellStyleXfs>
  <cellXfs count="96">
    <xf numFmtId="0" fontId="0" fillId="0" borderId="0" xfId="0"/>
    <xf numFmtId="0" fontId="14" fillId="0" borderId="0" xfId="1"/>
    <xf numFmtId="0" fontId="14" fillId="0" borderId="0" xfId="1" applyAlignment="1">
      <alignment horizontal="center"/>
    </xf>
    <xf numFmtId="0" fontId="15" fillId="0" borderId="0" xfId="1" applyFont="1"/>
    <xf numFmtId="0" fontId="14" fillId="0" borderId="0" xfId="1" applyAlignment="1">
      <alignment horizontal="right"/>
    </xf>
    <xf numFmtId="166" fontId="14" fillId="0" borderId="0" xfId="1" applyNumberFormat="1" applyAlignment="1">
      <alignment horizontal="center"/>
    </xf>
    <xf numFmtId="0" fontId="14" fillId="0" borderId="0" xfId="1" quotePrefix="1" applyAlignment="1">
      <alignment horizontal="right"/>
    </xf>
    <xf numFmtId="0" fontId="12" fillId="0" borderId="0" xfId="3"/>
    <xf numFmtId="0" fontId="16" fillId="0" borderId="0" xfId="3" applyFont="1"/>
    <xf numFmtId="0" fontId="12" fillId="0" borderId="3" xfId="3" applyBorder="1"/>
    <xf numFmtId="0" fontId="16" fillId="0" borderId="3" xfId="3" applyFont="1" applyBorder="1"/>
    <xf numFmtId="0" fontId="12" fillId="0" borderId="2" xfId="3" applyBorder="1"/>
    <xf numFmtId="0" fontId="17" fillId="0" borderId="0" xfId="3" applyFont="1"/>
    <xf numFmtId="0" fontId="18" fillId="0" borderId="0" xfId="3" applyFont="1"/>
    <xf numFmtId="0" fontId="12" fillId="2" borderId="1" xfId="3" applyFill="1" applyBorder="1"/>
    <xf numFmtId="0" fontId="19" fillId="0" borderId="0" xfId="3" applyFont="1"/>
    <xf numFmtId="0" fontId="12" fillId="0" borderId="0" xfId="3" quotePrefix="1"/>
    <xf numFmtId="0" fontId="17" fillId="0" borderId="0" xfId="3" applyFont="1" applyAlignment="1">
      <alignment horizontal="centerContinuous"/>
    </xf>
    <xf numFmtId="0" fontId="12" fillId="0" borderId="0" xfId="3" applyAlignment="1">
      <alignment horizontal="centerContinuous"/>
    </xf>
    <xf numFmtId="0" fontId="18" fillId="0" borderId="0" xfId="3" applyFont="1" applyAlignment="1">
      <alignment horizontal="left"/>
    </xf>
    <xf numFmtId="0" fontId="20" fillId="0" borderId="0" xfId="3" applyFont="1"/>
    <xf numFmtId="0" fontId="21" fillId="0" borderId="0" xfId="3" applyFont="1"/>
    <xf numFmtId="0" fontId="12" fillId="0" borderId="0" xfId="3" applyAlignment="1">
      <alignment horizontal="center"/>
    </xf>
    <xf numFmtId="0" fontId="14" fillId="0" borderId="0" xfId="1" applyAlignment="1">
      <alignment horizontal="left"/>
    </xf>
    <xf numFmtId="165" fontId="14" fillId="0" borderId="0" xfId="1" applyNumberFormat="1" applyAlignment="1">
      <alignment horizontal="center"/>
    </xf>
    <xf numFmtId="165" fontId="12" fillId="0" borderId="0" xfId="3" applyNumberFormat="1" applyAlignment="1">
      <alignment horizontal="center"/>
    </xf>
    <xf numFmtId="0" fontId="15" fillId="0" borderId="0" xfId="1" applyFont="1" applyAlignment="1">
      <alignment horizontal="left"/>
    </xf>
    <xf numFmtId="0" fontId="14" fillId="0" borderId="0" xfId="1" quotePrefix="1" applyAlignment="1">
      <alignment horizontal="left"/>
    </xf>
    <xf numFmtId="165" fontId="12" fillId="0" borderId="0" xfId="3" applyNumberFormat="1"/>
    <xf numFmtId="0" fontId="22" fillId="0" borderId="0" xfId="3" applyFont="1"/>
    <xf numFmtId="168" fontId="12" fillId="0" borderId="0" xfId="3" applyNumberFormat="1"/>
    <xf numFmtId="168" fontId="20" fillId="0" borderId="0" xfId="3" applyNumberFormat="1" applyFont="1"/>
    <xf numFmtId="0" fontId="21" fillId="0" borderId="0" xfId="3" quotePrefix="1" applyFont="1"/>
    <xf numFmtId="0" fontId="20" fillId="0" borderId="0" xfId="3" quotePrefix="1" applyFont="1"/>
    <xf numFmtId="168" fontId="12" fillId="3" borderId="1" xfId="3" quotePrefix="1" applyNumberFormat="1" applyFill="1" applyBorder="1"/>
    <xf numFmtId="0" fontId="12" fillId="0" borderId="0" xfId="3" applyAlignment="1">
      <alignment horizontal="right"/>
    </xf>
    <xf numFmtId="0" fontId="23" fillId="0" borderId="0" xfId="3" applyFont="1"/>
    <xf numFmtId="0" fontId="11" fillId="0" borderId="0" xfId="3" applyFont="1"/>
    <xf numFmtId="0" fontId="10" fillId="0" borderId="0" xfId="3" applyFont="1"/>
    <xf numFmtId="3" fontId="12" fillId="3" borderId="1" xfId="3" applyNumberFormat="1" applyFill="1" applyBorder="1" applyAlignment="1">
      <alignment horizontal="right"/>
    </xf>
    <xf numFmtId="0" fontId="9" fillId="0" borderId="0" xfId="3" applyFont="1"/>
    <xf numFmtId="0" fontId="8" fillId="0" borderId="0" xfId="3" applyFont="1"/>
    <xf numFmtId="0" fontId="8" fillId="0" borderId="0" xfId="3" applyFont="1" applyAlignment="1">
      <alignment horizontal="right"/>
    </xf>
    <xf numFmtId="0" fontId="8" fillId="0" borderId="0" xfId="3" quotePrefix="1" applyFont="1"/>
    <xf numFmtId="0" fontId="24" fillId="0" borderId="0" xfId="4" applyFont="1"/>
    <xf numFmtId="0" fontId="7" fillId="0" borderId="0" xfId="4"/>
    <xf numFmtId="0" fontId="18" fillId="0" borderId="0" xfId="4" applyFont="1"/>
    <xf numFmtId="0" fontId="7" fillId="2" borderId="1" xfId="4" applyFill="1" applyBorder="1"/>
    <xf numFmtId="0" fontId="7" fillId="0" borderId="6" xfId="4" applyBorder="1"/>
    <xf numFmtId="0" fontId="7" fillId="0" borderId="7" xfId="4" applyBorder="1"/>
    <xf numFmtId="11" fontId="7" fillId="2" borderId="1" xfId="4" applyNumberFormat="1" applyFill="1" applyBorder="1"/>
    <xf numFmtId="168" fontId="7" fillId="0" borderId="0" xfId="4" applyNumberFormat="1"/>
    <xf numFmtId="0" fontId="7" fillId="0" borderId="0" xfId="4" quotePrefix="1"/>
    <xf numFmtId="166" fontId="7" fillId="0" borderId="0" xfId="4" applyNumberFormat="1"/>
    <xf numFmtId="0" fontId="21" fillId="0" borderId="0" xfId="4" applyFont="1"/>
    <xf numFmtId="167" fontId="7" fillId="0" borderId="0" xfId="4" applyNumberFormat="1"/>
    <xf numFmtId="0" fontId="7" fillId="0" borderId="4" xfId="4" applyBorder="1" applyAlignment="1">
      <alignment horizontal="center"/>
    </xf>
    <xf numFmtId="0" fontId="7" fillId="0" borderId="10" xfId="4" applyBorder="1" applyAlignment="1">
      <alignment horizontal="center"/>
    </xf>
    <xf numFmtId="0" fontId="7" fillId="0" borderId="5" xfId="4" applyBorder="1" applyAlignment="1">
      <alignment horizontal="center"/>
    </xf>
    <xf numFmtId="0" fontId="7" fillId="0" borderId="6" xfId="4" applyBorder="1" applyAlignment="1">
      <alignment horizontal="center"/>
    </xf>
    <xf numFmtId="0" fontId="7" fillId="0" borderId="0" xfId="4" applyAlignment="1">
      <alignment horizontal="center"/>
    </xf>
    <xf numFmtId="0" fontId="7" fillId="0" borderId="7" xfId="4" applyBorder="1" applyAlignment="1">
      <alignment horizontal="center"/>
    </xf>
    <xf numFmtId="165" fontId="7" fillId="0" borderId="0" xfId="4" applyNumberFormat="1"/>
    <xf numFmtId="0" fontId="16" fillId="0" borderId="0" xfId="4" applyFont="1"/>
    <xf numFmtId="0" fontId="7" fillId="0" borderId="8" xfId="4" applyBorder="1" applyAlignment="1">
      <alignment horizontal="center"/>
    </xf>
    <xf numFmtId="0" fontId="7" fillId="0" borderId="11" xfId="4" applyBorder="1" applyAlignment="1">
      <alignment horizontal="center"/>
    </xf>
    <xf numFmtId="0" fontId="7" fillId="0" borderId="9" xfId="4" applyBorder="1" applyAlignment="1">
      <alignment horizontal="center"/>
    </xf>
    <xf numFmtId="10" fontId="7" fillId="4" borderId="1" xfId="4" applyNumberFormat="1" applyFill="1" applyBorder="1"/>
    <xf numFmtId="164" fontId="7" fillId="0" borderId="0" xfId="4" quotePrefix="1" applyNumberFormat="1"/>
    <xf numFmtId="164" fontId="7" fillId="0" borderId="0" xfId="4" applyNumberFormat="1"/>
    <xf numFmtId="2" fontId="7" fillId="0" borderId="0" xfId="4" applyNumberFormat="1"/>
    <xf numFmtId="169" fontId="7" fillId="0" borderId="0" xfId="4" applyNumberFormat="1"/>
    <xf numFmtId="0" fontId="6" fillId="0" borderId="0" xfId="3" applyFont="1"/>
    <xf numFmtId="0" fontId="24" fillId="0" borderId="0" xfId="3" applyFont="1"/>
    <xf numFmtId="165" fontId="16" fillId="2" borderId="0" xfId="3" applyNumberFormat="1" applyFont="1" applyFill="1"/>
    <xf numFmtId="0" fontId="12" fillId="2" borderId="0" xfId="3" applyFill="1"/>
    <xf numFmtId="0" fontId="20" fillId="2" borderId="0" xfId="3" applyFont="1" applyFill="1"/>
    <xf numFmtId="0" fontId="6" fillId="0" borderId="0" xfId="4" applyFont="1"/>
    <xf numFmtId="165" fontId="7" fillId="3" borderId="1" xfId="4" applyNumberFormat="1" applyFill="1" applyBorder="1"/>
    <xf numFmtId="0" fontId="21" fillId="2" borderId="0" xfId="3" quotePrefix="1" applyFont="1" applyFill="1"/>
    <xf numFmtId="0" fontId="12" fillId="2" borderId="0" xfId="3" applyFill="1" applyAlignment="1">
      <alignment horizontal="center"/>
    </xf>
    <xf numFmtId="0" fontId="16" fillId="2" borderId="0" xfId="3" applyFont="1" applyFill="1"/>
    <xf numFmtId="168" fontId="12" fillId="2" borderId="0" xfId="3" applyNumberFormat="1" applyFill="1"/>
    <xf numFmtId="0" fontId="20" fillId="0" borderId="0" xfId="3" applyFont="1" applyAlignment="1">
      <alignment horizontal="center"/>
    </xf>
    <xf numFmtId="165" fontId="20" fillId="0" borderId="0" xfId="3" applyNumberFormat="1" applyFont="1" applyAlignment="1">
      <alignment horizontal="center"/>
    </xf>
    <xf numFmtId="0" fontId="5" fillId="0" borderId="0" xfId="4" applyFont="1"/>
    <xf numFmtId="0" fontId="4" fillId="0" borderId="0" xfId="4" applyFont="1"/>
    <xf numFmtId="0" fontId="4" fillId="0" borderId="0" xfId="4" quotePrefix="1" applyFont="1"/>
    <xf numFmtId="0" fontId="25" fillId="0" borderId="0" xfId="4" applyFont="1"/>
    <xf numFmtId="0" fontId="3" fillId="0" borderId="0" xfId="4" applyFont="1"/>
    <xf numFmtId="0" fontId="3" fillId="0" borderId="0" xfId="3" applyFont="1"/>
    <xf numFmtId="0" fontId="2" fillId="0" borderId="0" xfId="3" applyFont="1"/>
    <xf numFmtId="0" fontId="8" fillId="2" borderId="13" xfId="3" applyFont="1" applyFill="1" applyBorder="1"/>
    <xf numFmtId="0" fontId="0" fillId="2" borderId="12" xfId="0" applyFill="1" applyBorder="1"/>
    <xf numFmtId="0" fontId="0" fillId="2" borderId="14" xfId="0" applyFill="1" applyBorder="1"/>
    <xf numFmtId="0" fontId="1" fillId="0" borderId="0" xfId="3" applyFont="1"/>
  </cellXfs>
  <cellStyles count="5">
    <cellStyle name="Normal" xfId="0" builtinId="0"/>
    <cellStyle name="Normal 2" xfId="1" xr:uid="{6565667D-00DA-4A20-9581-FB024204B275}"/>
    <cellStyle name="Normal 3" xfId="2" xr:uid="{94126C61-9057-435B-9ABD-CE5C405C1F8E}"/>
    <cellStyle name="Normal 4" xfId="3" xr:uid="{27BBEB2F-6A8F-4DDE-B069-D1DB4A6B3EF0}"/>
    <cellStyle name="Normal 5" xfId="4" xr:uid="{324AE472-2F35-4D92-99EA-8F1788937852}"/>
  </cellStyles>
  <dxfs count="0"/>
  <tableStyles count="0" defaultTableStyle="TableStyleMedium9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311019</xdr:colOff>
      <xdr:row>16</xdr:row>
      <xdr:rowOff>165228</xdr:rowOff>
    </xdr:from>
    <xdr:to>
      <xdr:col>8</xdr:col>
      <xdr:colOff>533512</xdr:colOff>
      <xdr:row>29</xdr:row>
      <xdr:rowOff>9718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811D10-BA92-A55C-308F-A6D0016EA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759" y="2896376"/>
          <a:ext cx="2185809" cy="2371531"/>
        </a:xfrm>
        <a:prstGeom prst="rect">
          <a:avLst/>
        </a:prstGeom>
      </xdr:spPr>
    </xdr:pic>
    <xdr:clientData/>
  </xdr:twoCellAnchor>
  <xdr:twoCellAnchor editAs="oneCell">
    <xdr:from>
      <xdr:col>6</xdr:col>
      <xdr:colOff>301300</xdr:colOff>
      <xdr:row>73</xdr:row>
      <xdr:rowOff>136068</xdr:rowOff>
    </xdr:from>
    <xdr:to>
      <xdr:col>8</xdr:col>
      <xdr:colOff>433163</xdr:colOff>
      <xdr:row>84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49B1DE-A3A7-2335-A382-3FAA81A6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040" y="16105022"/>
          <a:ext cx="2095179" cy="2002198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16</xdr:row>
      <xdr:rowOff>123825</xdr:rowOff>
    </xdr:from>
    <xdr:to>
      <xdr:col>17</xdr:col>
      <xdr:colOff>10121</xdr:colOff>
      <xdr:row>36</xdr:row>
      <xdr:rowOff>161925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E25E98A4-0F51-4E23-B44E-29ACCC31C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5" r="1726" b="2007"/>
        <a:stretch/>
      </xdr:blipFill>
      <xdr:spPr bwMode="auto">
        <a:xfrm>
          <a:off x="11496675" y="3181350"/>
          <a:ext cx="2362796" cy="3857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523874</xdr:colOff>
      <xdr:row>22</xdr:row>
      <xdr:rowOff>19050</xdr:rowOff>
    </xdr:from>
    <xdr:to>
      <xdr:col>15</xdr:col>
      <xdr:colOff>133349</xdr:colOff>
      <xdr:row>25</xdr:row>
      <xdr:rowOff>28575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8FE8A7A-8E8F-C577-1E9E-3FC78DAE7855}"/>
            </a:ext>
          </a:extLst>
        </xdr:cNvPr>
        <xdr:cNvSpPr/>
      </xdr:nvSpPr>
      <xdr:spPr>
        <a:xfrm>
          <a:off x="11325224" y="4219575"/>
          <a:ext cx="1438275" cy="58102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214311</xdr:colOff>
      <xdr:row>22</xdr:row>
      <xdr:rowOff>4765</xdr:rowOff>
    </xdr:from>
    <xdr:to>
      <xdr:col>12</xdr:col>
      <xdr:colOff>376236</xdr:colOff>
      <xdr:row>24</xdr:row>
      <xdr:rowOff>138115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43196B3E-7FC4-4F62-B40F-343176EE4E29}"/>
            </a:ext>
          </a:extLst>
        </xdr:cNvPr>
        <xdr:cNvSpPr/>
      </xdr:nvSpPr>
      <xdr:spPr>
        <a:xfrm rot="5584152">
          <a:off x="10534649" y="4076702"/>
          <a:ext cx="514350" cy="771525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13</xdr:col>
      <xdr:colOff>190500</xdr:colOff>
      <xdr:row>61</xdr:row>
      <xdr:rowOff>66675</xdr:rowOff>
    </xdr:from>
    <xdr:to>
      <xdr:col>20</xdr:col>
      <xdr:colOff>56633</xdr:colOff>
      <xdr:row>76</xdr:row>
      <xdr:rowOff>152031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97C67F-4417-4001-90A7-AF74FCF2D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01450" y="11706225"/>
          <a:ext cx="4133333" cy="29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295275</xdr:colOff>
      <xdr:row>78</xdr:row>
      <xdr:rowOff>95250</xdr:rowOff>
    </xdr:from>
    <xdr:to>
      <xdr:col>19</xdr:col>
      <xdr:colOff>161484</xdr:colOff>
      <xdr:row>91</xdr:row>
      <xdr:rowOff>75892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93A2A6-F771-4AEA-942A-081E7A36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06225" y="14982825"/>
          <a:ext cx="3523809" cy="2466667"/>
        </a:xfrm>
        <a:prstGeom prst="rect">
          <a:avLst/>
        </a:prstGeom>
      </xdr:spPr>
    </xdr:pic>
    <xdr:clientData/>
  </xdr:twoCellAnchor>
  <xdr:twoCellAnchor>
    <xdr:from>
      <xdr:col>14</xdr:col>
      <xdr:colOff>409574</xdr:colOff>
      <xdr:row>71</xdr:row>
      <xdr:rowOff>142875</xdr:rowOff>
    </xdr:from>
    <xdr:to>
      <xdr:col>16</xdr:col>
      <xdr:colOff>257175</xdr:colOff>
      <xdr:row>76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F5978A0-B826-40B3-8FA8-0731E55E8372}"/>
            </a:ext>
          </a:extLst>
        </xdr:cNvPr>
        <xdr:cNvSpPr/>
      </xdr:nvSpPr>
      <xdr:spPr>
        <a:xfrm>
          <a:off x="12430124" y="13687425"/>
          <a:ext cx="1066801" cy="9906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18</xdr:col>
      <xdr:colOff>190499</xdr:colOff>
      <xdr:row>71</xdr:row>
      <xdr:rowOff>66675</xdr:rowOff>
    </xdr:from>
    <xdr:to>
      <xdr:col>20</xdr:col>
      <xdr:colOff>38100</xdr:colOff>
      <xdr:row>76</xdr:row>
      <xdr:rowOff>95250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401841C-7372-4504-A47C-5410B9CB27DA}"/>
            </a:ext>
          </a:extLst>
        </xdr:cNvPr>
        <xdr:cNvSpPr/>
      </xdr:nvSpPr>
      <xdr:spPr>
        <a:xfrm>
          <a:off x="14649449" y="13611225"/>
          <a:ext cx="1066801" cy="9906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16</xdr:col>
      <xdr:colOff>114299</xdr:colOff>
      <xdr:row>80</xdr:row>
      <xdr:rowOff>114300</xdr:rowOff>
    </xdr:from>
    <xdr:to>
      <xdr:col>17</xdr:col>
      <xdr:colOff>152400</xdr:colOff>
      <xdr:row>85</xdr:row>
      <xdr:rowOff>142875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59F4282-6E32-4107-96F6-4000BB4AA4BA}"/>
            </a:ext>
          </a:extLst>
        </xdr:cNvPr>
        <xdr:cNvSpPr/>
      </xdr:nvSpPr>
      <xdr:spPr>
        <a:xfrm>
          <a:off x="13354049" y="15382875"/>
          <a:ext cx="647701" cy="9906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16</xdr:col>
      <xdr:colOff>552449</xdr:colOff>
      <xdr:row>85</xdr:row>
      <xdr:rowOff>123825</xdr:rowOff>
    </xdr:from>
    <xdr:to>
      <xdr:col>17</xdr:col>
      <xdr:colOff>590550</xdr:colOff>
      <xdr:row>90</xdr:row>
      <xdr:rowOff>161925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1940920-A870-4EF5-9698-66B5CB0503FF}"/>
            </a:ext>
          </a:extLst>
        </xdr:cNvPr>
        <xdr:cNvSpPr/>
      </xdr:nvSpPr>
      <xdr:spPr>
        <a:xfrm>
          <a:off x="13792199" y="16354425"/>
          <a:ext cx="647701" cy="9906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400052</xdr:colOff>
      <xdr:row>72</xdr:row>
      <xdr:rowOff>76200</xdr:rowOff>
    </xdr:from>
    <xdr:to>
      <xdr:col>12</xdr:col>
      <xdr:colOff>561977</xdr:colOff>
      <xdr:row>75</xdr:row>
      <xdr:rowOff>9525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1DBAFA5F-BB9F-471F-932C-EF0C0CD9E788}"/>
            </a:ext>
          </a:extLst>
        </xdr:cNvPr>
        <xdr:cNvSpPr/>
      </xdr:nvSpPr>
      <xdr:spPr>
        <a:xfrm rot="16200000">
          <a:off x="10720390" y="13682662"/>
          <a:ext cx="514350" cy="771525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485775</xdr:colOff>
      <xdr:row>81</xdr:row>
      <xdr:rowOff>57150</xdr:rowOff>
    </xdr:from>
    <xdr:to>
      <xdr:col>13</xdr:col>
      <xdr:colOff>38100</xdr:colOff>
      <xdr:row>84</xdr:row>
      <xdr:rowOff>0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1A034A2F-6636-47E2-AC5C-059030DC8650}"/>
            </a:ext>
          </a:extLst>
        </xdr:cNvPr>
        <xdr:cNvSpPr/>
      </xdr:nvSpPr>
      <xdr:spPr>
        <a:xfrm rot="16200000">
          <a:off x="10806113" y="15387637"/>
          <a:ext cx="514350" cy="771525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466726</xdr:colOff>
      <xdr:row>86</xdr:row>
      <xdr:rowOff>142877</xdr:rowOff>
    </xdr:from>
    <xdr:to>
      <xdr:col>13</xdr:col>
      <xdr:colOff>19051</xdr:colOff>
      <xdr:row>89</xdr:row>
      <xdr:rowOff>85727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12184634-AA57-4793-8CC3-992753E553B0}"/>
            </a:ext>
          </a:extLst>
        </xdr:cNvPr>
        <xdr:cNvSpPr/>
      </xdr:nvSpPr>
      <xdr:spPr>
        <a:xfrm rot="16200000">
          <a:off x="10787064" y="16435389"/>
          <a:ext cx="514350" cy="771525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U23770\Documents\Task%20(Rigid%20Fdn%20Update)\SVAP2%20master%20(6Nov2024).xlsm" TargetMode="External"/><Relationship Id="rId1" Type="http://schemas.openxmlformats.org/officeDocument/2006/relationships/externalLinkPath" Target="file:///C:\Users\BOU23770\Documents\Task%20(Rigid%20Fdn%20Update)\SVAP2%20master%20(6Nov202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Mass"/>
      <sheetName val="Layers"/>
      <sheetName val="Loading"/>
      <sheetName val="I-Richart"/>
      <sheetName val="I-Veletsos"/>
      <sheetName val="Amplitudes-Decoupled"/>
      <sheetName val="Amplitudes-Coupled"/>
      <sheetName val="Input (alt)"/>
      <sheetName val="Loading (alt)"/>
    </sheetNames>
    <sheetDataSet>
      <sheetData sheetId="0">
        <row r="58">
          <cell r="O58" t="str">
            <v>ft</v>
          </cell>
        </row>
        <row r="59">
          <cell r="O59" t="str">
            <v>lb</v>
          </cell>
        </row>
        <row r="60">
          <cell r="O60" t="str">
            <v>lb-ft</v>
          </cell>
        </row>
        <row r="61">
          <cell r="O61" t="str">
            <v>lb/ft3</v>
          </cell>
        </row>
        <row r="62">
          <cell r="O62" t="str">
            <v>lb/ft2</v>
          </cell>
        </row>
        <row r="63">
          <cell r="O63" t="str">
            <v>ft/s</v>
          </cell>
        </row>
        <row r="65">
          <cell r="O65" t="str">
            <v>lb-s2/ft</v>
          </cell>
        </row>
        <row r="66">
          <cell r="O66" t="str">
            <v>lb-s2-ft/rad</v>
          </cell>
        </row>
      </sheetData>
      <sheetData sheetId="1">
        <row r="9">
          <cell r="C9" t="b">
            <v>0</v>
          </cell>
        </row>
        <row r="11">
          <cell r="C11" t="b">
            <v>1</v>
          </cell>
        </row>
        <row r="13">
          <cell r="C13" t="b">
            <v>0</v>
          </cell>
        </row>
        <row r="22">
          <cell r="C22" t="b">
            <v>0</v>
          </cell>
        </row>
        <row r="38">
          <cell r="B38" t="str">
            <v>fdn part 2</v>
          </cell>
          <cell r="C38">
            <v>150</v>
          </cell>
          <cell r="D38">
            <v>3</v>
          </cell>
          <cell r="E38">
            <v>6.92</v>
          </cell>
          <cell r="F38">
            <v>3.6</v>
          </cell>
          <cell r="G38">
            <v>1.9</v>
          </cell>
          <cell r="H38">
            <v>-3.46</v>
          </cell>
          <cell r="I38">
            <v>2.67</v>
          </cell>
          <cell r="J38" t="str">
            <v>Valid</v>
          </cell>
        </row>
        <row r="39">
          <cell r="B39" t="str">
            <v>fdn part 3</v>
          </cell>
          <cell r="C39">
            <v>150</v>
          </cell>
          <cell r="D39">
            <v>3.17</v>
          </cell>
          <cell r="E39">
            <v>5.34</v>
          </cell>
          <cell r="F39">
            <v>3.27</v>
          </cell>
          <cell r="G39">
            <v>-1.27</v>
          </cell>
          <cell r="H39">
            <v>-2.67</v>
          </cell>
          <cell r="I39">
            <v>2.67</v>
          </cell>
          <cell r="J39" t="str">
            <v>Valid</v>
          </cell>
        </row>
        <row r="40">
          <cell r="B40" t="str">
            <v>fdn part 4</v>
          </cell>
          <cell r="C40">
            <v>150</v>
          </cell>
          <cell r="D40">
            <v>5.33</v>
          </cell>
          <cell r="E40">
            <v>5.34</v>
          </cell>
          <cell r="F40">
            <v>3.6</v>
          </cell>
          <cell r="G40">
            <v>-6.6</v>
          </cell>
          <cell r="H40">
            <v>-2.67</v>
          </cell>
          <cell r="I40">
            <v>2.67</v>
          </cell>
          <cell r="J40" t="str">
            <v>Valid</v>
          </cell>
        </row>
        <row r="41">
          <cell r="J41" t="str">
            <v>Not Used</v>
          </cell>
        </row>
        <row r="42">
          <cell r="J42" t="str">
            <v>Not Used</v>
          </cell>
        </row>
        <row r="43">
          <cell r="J43" t="str">
            <v>Not Used</v>
          </cell>
        </row>
        <row r="44">
          <cell r="J44" t="str">
            <v>Not Used</v>
          </cell>
        </row>
        <row r="45">
          <cell r="J45" t="str">
            <v>Not Used</v>
          </cell>
        </row>
        <row r="46">
          <cell r="J46" t="str">
            <v>Not Used</v>
          </cell>
        </row>
        <row r="47">
          <cell r="J47" t="str">
            <v>Not Used</v>
          </cell>
        </row>
        <row r="54">
          <cell r="B54" t="str">
            <v>motor</v>
          </cell>
          <cell r="C54">
            <v>10253</v>
          </cell>
          <cell r="D54">
            <v>0</v>
          </cell>
          <cell r="E54">
            <v>0</v>
          </cell>
          <cell r="F54">
            <v>0</v>
          </cell>
          <cell r="G54">
            <v>-3.96</v>
          </cell>
          <cell r="H54">
            <v>0</v>
          </cell>
          <cell r="I54">
            <v>8.5</v>
          </cell>
          <cell r="J54" t="str">
            <v>Valid</v>
          </cell>
        </row>
        <row r="55">
          <cell r="B55" t="str">
            <v>compresson</v>
          </cell>
          <cell r="C55">
            <v>18312</v>
          </cell>
          <cell r="D55">
            <v>0</v>
          </cell>
          <cell r="E55">
            <v>0</v>
          </cell>
          <cell r="F55">
            <v>0</v>
          </cell>
          <cell r="G55">
            <v>3.76</v>
          </cell>
          <cell r="H55">
            <v>0</v>
          </cell>
          <cell r="I55">
            <v>11.3</v>
          </cell>
          <cell r="J55" t="str">
            <v>Valid</v>
          </cell>
        </row>
        <row r="56">
          <cell r="J56" t="str">
            <v>Not Used</v>
          </cell>
        </row>
        <row r="57">
          <cell r="J57" t="str">
            <v>Not Used</v>
          </cell>
        </row>
        <row r="58">
          <cell r="J58" t="str">
            <v>Not Used</v>
          </cell>
        </row>
        <row r="83">
          <cell r="C83" t="b">
            <v>1</v>
          </cell>
        </row>
      </sheetData>
      <sheetData sheetId="2">
        <row r="89">
          <cell r="D89">
            <v>32.200000000000003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EE2D-B1B7-4734-9516-CC17C901235F}">
  <sheetPr codeName="Sheet10"/>
  <dimension ref="B2:P86"/>
  <sheetViews>
    <sheetView tabSelected="1" zoomScaleNormal="100" workbookViewId="0">
      <selection activeCell="B4" sqref="B4"/>
    </sheetView>
  </sheetViews>
  <sheetFormatPr defaultRowHeight="15" x14ac:dyDescent="0.25"/>
  <cols>
    <col min="1" max="1" width="9.140625" style="7"/>
    <col min="2" max="2" width="22.42578125" style="7" customWidth="1"/>
    <col min="3" max="3" width="26.42578125" style="7" customWidth="1"/>
    <col min="4" max="9" width="14.7109375" style="7" customWidth="1"/>
    <col min="10" max="16384" width="9.140625" style="7"/>
  </cols>
  <sheetData>
    <row r="2" spans="2:11" x14ac:dyDescent="0.25">
      <c r="B2" s="12" t="s">
        <v>60</v>
      </c>
      <c r="F2" s="8"/>
    </row>
    <row r="3" spans="2:11" x14ac:dyDescent="0.25">
      <c r="B3" s="95" t="s">
        <v>161</v>
      </c>
    </row>
    <row r="4" spans="2:11" ht="15.75" thickBot="1" x14ac:dyDescent="0.3">
      <c r="B4" s="9"/>
      <c r="C4" s="9"/>
      <c r="D4" s="9"/>
      <c r="E4" s="9"/>
      <c r="F4" s="10"/>
      <c r="G4" s="9"/>
      <c r="H4" s="9"/>
      <c r="I4" s="9"/>
    </row>
    <row r="5" spans="2:11" x14ac:dyDescent="0.25">
      <c r="B5" s="11"/>
      <c r="C5" s="11"/>
      <c r="D5" s="11"/>
      <c r="E5" s="11"/>
      <c r="F5" s="11"/>
      <c r="G5" s="11"/>
      <c r="H5" s="11"/>
      <c r="I5" s="11"/>
    </row>
    <row r="6" spans="2:11" x14ac:dyDescent="0.25">
      <c r="B6" s="12" t="s">
        <v>5</v>
      </c>
    </row>
    <row r="8" spans="2:11" x14ac:dyDescent="0.25">
      <c r="B8" s="38" t="s">
        <v>61</v>
      </c>
      <c r="C8" s="92" t="s">
        <v>64</v>
      </c>
      <c r="D8" s="93"/>
      <c r="E8" s="93"/>
      <c r="F8" s="93"/>
      <c r="G8" s="93"/>
      <c r="H8" s="94"/>
      <c r="K8" s="73" t="s">
        <v>129</v>
      </c>
    </row>
    <row r="9" spans="2:11" x14ac:dyDescent="0.25">
      <c r="K9" s="73" t="s">
        <v>130</v>
      </c>
    </row>
    <row r="10" spans="2:11" x14ac:dyDescent="0.25">
      <c r="B10" s="13" t="s">
        <v>6</v>
      </c>
    </row>
    <row r="11" spans="2:11" x14ac:dyDescent="0.25">
      <c r="B11" s="7" t="s">
        <v>7</v>
      </c>
      <c r="C11" s="14">
        <v>1</v>
      </c>
      <c r="D11" s="15" t="str">
        <f>IF(C11=1,"imperial","metric")</f>
        <v>imperial</v>
      </c>
      <c r="E11" s="16" t="s">
        <v>8</v>
      </c>
      <c r="K11" s="72" t="s">
        <v>126</v>
      </c>
    </row>
    <row r="12" spans="2:11" x14ac:dyDescent="0.25">
      <c r="B12" s="7" t="s">
        <v>9</v>
      </c>
      <c r="C12" s="14"/>
      <c r="D12" s="15" t="str">
        <f>IF(C12=1,"quadratic","non-quadratic")</f>
        <v>non-quadratic</v>
      </c>
      <c r="E12" s="40" t="s">
        <v>63</v>
      </c>
    </row>
    <row r="13" spans="2:11" x14ac:dyDescent="0.25">
      <c r="B13" s="17"/>
      <c r="C13" s="18"/>
      <c r="K13" s="72" t="s">
        <v>127</v>
      </c>
    </row>
    <row r="14" spans="2:11" x14ac:dyDescent="0.25">
      <c r="B14" s="19" t="s">
        <v>10</v>
      </c>
      <c r="C14" s="18"/>
    </row>
    <row r="15" spans="2:11" x14ac:dyDescent="0.25">
      <c r="B15" s="7" t="s">
        <v>11</v>
      </c>
      <c r="C15" s="14">
        <v>0</v>
      </c>
      <c r="D15" s="7" t="str">
        <f>IF($C$11=1,"ft","m")</f>
        <v>ft</v>
      </c>
      <c r="K15" s="72" t="s">
        <v>134</v>
      </c>
    </row>
    <row r="16" spans="2:11" x14ac:dyDescent="0.25">
      <c r="B16" s="7" t="s">
        <v>12</v>
      </c>
      <c r="C16" s="14">
        <v>-0.30199999999999999</v>
      </c>
      <c r="D16" s="7" t="str">
        <f>IF($C$11=1,"ft","m")</f>
        <v>ft</v>
      </c>
      <c r="G16" s="8"/>
      <c r="K16" s="72" t="s">
        <v>133</v>
      </c>
    </row>
    <row r="17" spans="2:9" x14ac:dyDescent="0.25">
      <c r="B17" s="7" t="s">
        <v>13</v>
      </c>
      <c r="C17" s="14">
        <v>4.7229999999999999</v>
      </c>
      <c r="D17" s="7" t="str">
        <f>IF($C$11=1,"ft","m")</f>
        <v>ft</v>
      </c>
    </row>
    <row r="18" spans="2:9" x14ac:dyDescent="0.25">
      <c r="B18" s="17"/>
      <c r="C18" s="18"/>
    </row>
    <row r="19" spans="2:9" x14ac:dyDescent="0.25">
      <c r="B19" s="13" t="s">
        <v>14</v>
      </c>
      <c r="G19" s="37"/>
      <c r="H19" s="37"/>
      <c r="I19" s="37"/>
    </row>
    <row r="20" spans="2:9" x14ac:dyDescent="0.25">
      <c r="B20" s="7" t="s">
        <v>15</v>
      </c>
      <c r="C20" s="14">
        <v>2</v>
      </c>
      <c r="D20" s="7" t="str">
        <f>IF($C$11=1,"ft","m")</f>
        <v>ft</v>
      </c>
    </row>
    <row r="21" spans="2:9" x14ac:dyDescent="0.25">
      <c r="B21" s="7" t="s">
        <v>16</v>
      </c>
      <c r="C21" s="14">
        <v>6</v>
      </c>
      <c r="D21" s="7" t="str">
        <f>IF($C$11=1,"ft","m")</f>
        <v>ft</v>
      </c>
      <c r="G21" s="37"/>
    </row>
    <row r="22" spans="2:9" x14ac:dyDescent="0.25">
      <c r="B22" s="7" t="s">
        <v>17</v>
      </c>
      <c r="C22" s="14">
        <v>12.5</v>
      </c>
      <c r="D22" s="7" t="str">
        <f>IF($C$11=1,"ft","m")</f>
        <v>ft</v>
      </c>
    </row>
    <row r="23" spans="2:9" x14ac:dyDescent="0.25">
      <c r="D23" s="20"/>
    </row>
    <row r="24" spans="2:9" x14ac:dyDescent="0.25">
      <c r="B24" s="13" t="s">
        <v>18</v>
      </c>
      <c r="C24" s="7" t="s">
        <v>19</v>
      </c>
      <c r="D24" s="20"/>
      <c r="E24" s="7" t="s">
        <v>20</v>
      </c>
    </row>
    <row r="25" spans="2:9" x14ac:dyDescent="0.25">
      <c r="B25" s="7" t="s">
        <v>21</v>
      </c>
      <c r="C25" s="14">
        <v>627</v>
      </c>
      <c r="D25" s="7" t="str">
        <f>IF($C$11=1,IF($C$12=1,"slug","lb"),IF($C$12=1,"kg","N"))</f>
        <v>lb</v>
      </c>
      <c r="E25" s="14">
        <v>0</v>
      </c>
      <c r="F25" s="7" t="s">
        <v>22</v>
      </c>
      <c r="G25" s="21"/>
    </row>
    <row r="26" spans="2:9" x14ac:dyDescent="0.25">
      <c r="B26" s="7" t="s">
        <v>23</v>
      </c>
      <c r="C26" s="14">
        <v>100</v>
      </c>
      <c r="D26" s="7" t="str">
        <f>IF($C$11=1,IF($C$12=1,"slug","lb"),IF($C$12=1,"kg","N"))</f>
        <v>lb</v>
      </c>
      <c r="E26" s="14">
        <v>0</v>
      </c>
      <c r="F26" s="7" t="s">
        <v>22</v>
      </c>
      <c r="G26" s="21"/>
    </row>
    <row r="27" spans="2:9" x14ac:dyDescent="0.25">
      <c r="B27" s="7" t="s">
        <v>24</v>
      </c>
      <c r="C27" s="14">
        <v>627</v>
      </c>
      <c r="D27" s="7" t="str">
        <f>IF($C$11=1,IF($C$12=1,"slug","lb"),IF($C$12=1,"kg","N"))</f>
        <v>lb</v>
      </c>
      <c r="E27" s="14">
        <v>90</v>
      </c>
      <c r="F27" s="7" t="s">
        <v>22</v>
      </c>
      <c r="G27" s="21"/>
    </row>
    <row r="28" spans="2:9" x14ac:dyDescent="0.25">
      <c r="D28" s="20"/>
      <c r="G28" s="20"/>
    </row>
    <row r="29" spans="2:9" x14ac:dyDescent="0.25">
      <c r="B29" s="13" t="s">
        <v>25</v>
      </c>
      <c r="C29" s="7" t="s">
        <v>19</v>
      </c>
      <c r="D29" s="20"/>
      <c r="E29" s="7" t="s">
        <v>20</v>
      </c>
      <c r="G29" s="20"/>
    </row>
    <row r="30" spans="2:9" x14ac:dyDescent="0.25">
      <c r="B30" s="7" t="s">
        <v>26</v>
      </c>
      <c r="C30" s="14">
        <v>0</v>
      </c>
      <c r="D30" s="7" t="str">
        <f>IF($C$11=1,IF($C$12=1,"slug-ft2","lb-ft"),IF($C$12=1,"kg-m2","N-m"))</f>
        <v>lb-ft</v>
      </c>
      <c r="E30" s="14">
        <v>0</v>
      </c>
      <c r="F30" s="7" t="s">
        <v>22</v>
      </c>
      <c r="G30" s="21"/>
    </row>
    <row r="31" spans="2:9" x14ac:dyDescent="0.25">
      <c r="B31" s="7" t="s">
        <v>27</v>
      </c>
      <c r="C31" s="14">
        <v>0</v>
      </c>
      <c r="D31" s="7" t="str">
        <f>IF($C$11=1,IF($C$12=1,"slug-ft2","lb-ft"),IF($C$12=1,"kg-m2","N-m"))</f>
        <v>lb-ft</v>
      </c>
      <c r="E31" s="14">
        <v>0</v>
      </c>
      <c r="F31" s="7" t="s">
        <v>22</v>
      </c>
      <c r="G31" s="21"/>
    </row>
    <row r="32" spans="2:9" x14ac:dyDescent="0.25">
      <c r="B32" s="7" t="s">
        <v>28</v>
      </c>
      <c r="C32" s="14">
        <v>0</v>
      </c>
      <c r="D32" s="7" t="str">
        <f>IF($C$11=1,IF($C$12=1,"slug-ft2","lb-ft"),IF($C$12=1,"kg-m2","N-m"))</f>
        <v>lb-ft</v>
      </c>
      <c r="E32" s="14">
        <v>0</v>
      </c>
      <c r="F32" s="7" t="s">
        <v>22</v>
      </c>
      <c r="G32" s="21"/>
    </row>
    <row r="33" spans="2:11" ht="15.75" thickBot="1" x14ac:dyDescent="0.3">
      <c r="B33" s="9"/>
      <c r="C33" s="9"/>
      <c r="D33" s="9"/>
      <c r="E33" s="9"/>
      <c r="F33" s="9"/>
      <c r="G33" s="9"/>
      <c r="H33" s="9"/>
      <c r="I33" s="9"/>
    </row>
    <row r="34" spans="2:11" x14ac:dyDescent="0.25">
      <c r="B34" s="11"/>
      <c r="C34" s="11"/>
      <c r="D34" s="11"/>
      <c r="E34" s="11"/>
      <c r="F34" s="11"/>
      <c r="G34" s="11"/>
      <c r="H34" s="11"/>
      <c r="I34" s="11"/>
    </row>
    <row r="35" spans="2:11" x14ac:dyDescent="0.25">
      <c r="B35" s="12" t="s">
        <v>29</v>
      </c>
    </row>
    <row r="36" spans="2:11" x14ac:dyDescent="0.25">
      <c r="K36" s="20"/>
    </row>
    <row r="37" spans="2:11" x14ac:dyDescent="0.25">
      <c r="B37" s="3" t="s">
        <v>30</v>
      </c>
      <c r="C37" s="5" t="s">
        <v>31</v>
      </c>
      <c r="D37" s="5" t="s">
        <v>32</v>
      </c>
      <c r="E37" s="1"/>
      <c r="F37" s="5" t="s">
        <v>33</v>
      </c>
      <c r="G37" s="8"/>
      <c r="H37" s="83" t="s">
        <v>142</v>
      </c>
      <c r="K37" s="20"/>
    </row>
    <row r="38" spans="2:11" x14ac:dyDescent="0.25">
      <c r="B38" s="2"/>
      <c r="C38" s="22" t="str">
        <f>IF($C$11=1,"ft","m")</f>
        <v>ft</v>
      </c>
      <c r="D38" s="22" t="str">
        <f>IF($C$11=1,"ft","m")</f>
        <v>ft</v>
      </c>
      <c r="E38" s="2"/>
      <c r="F38" s="22" t="str">
        <f>IF($C$11=1,"ft","m")</f>
        <v>ft</v>
      </c>
      <c r="H38" s="83"/>
      <c r="K38" s="20"/>
    </row>
    <row r="39" spans="2:11" x14ac:dyDescent="0.25">
      <c r="B39" s="23" t="s">
        <v>34</v>
      </c>
      <c r="C39" s="24">
        <f>C15</f>
        <v>0</v>
      </c>
      <c r="D39" s="24">
        <f>C20</f>
        <v>2</v>
      </c>
      <c r="E39" s="4" t="s">
        <v>35</v>
      </c>
      <c r="F39" s="25">
        <f>C39-D39</f>
        <v>-2</v>
      </c>
      <c r="H39" s="84">
        <f>D39-C39</f>
        <v>2</v>
      </c>
      <c r="K39" s="72" t="s">
        <v>135</v>
      </c>
    </row>
    <row r="40" spans="2:11" x14ac:dyDescent="0.25">
      <c r="B40" s="23" t="s">
        <v>36</v>
      </c>
      <c r="C40" s="24">
        <f>C16</f>
        <v>-0.30199999999999999</v>
      </c>
      <c r="D40" s="24">
        <f>C21</f>
        <v>6</v>
      </c>
      <c r="E40" s="4" t="s">
        <v>37</v>
      </c>
      <c r="F40" s="25">
        <f>C40-D40</f>
        <v>-6.3019999999999996</v>
      </c>
      <c r="H40" s="84">
        <f>D40-C40</f>
        <v>6.3019999999999996</v>
      </c>
      <c r="K40" s="72" t="s">
        <v>128</v>
      </c>
    </row>
    <row r="41" spans="2:11" x14ac:dyDescent="0.25">
      <c r="B41" s="23" t="s">
        <v>38</v>
      </c>
      <c r="C41" s="24">
        <f>C17</f>
        <v>4.7229999999999999</v>
      </c>
      <c r="D41" s="24">
        <f>C22</f>
        <v>12.5</v>
      </c>
      <c r="E41" s="4" t="s">
        <v>39</v>
      </c>
      <c r="F41" s="25">
        <f>C41-D41</f>
        <v>-7.7770000000000001</v>
      </c>
      <c r="H41" s="84">
        <f>D41-C41</f>
        <v>7.7770000000000001</v>
      </c>
    </row>
    <row r="42" spans="2:11" x14ac:dyDescent="0.25">
      <c r="K42" s="72" t="s">
        <v>131</v>
      </c>
    </row>
    <row r="43" spans="2:11" x14ac:dyDescent="0.25">
      <c r="B43" s="26" t="s">
        <v>40</v>
      </c>
      <c r="E43" s="27" t="s">
        <v>41</v>
      </c>
    </row>
    <row r="44" spans="2:11" x14ac:dyDescent="0.25">
      <c r="B44" s="26"/>
      <c r="E44" s="27"/>
    </row>
    <row r="45" spans="2:11" x14ac:dyDescent="0.25">
      <c r="B45" s="26"/>
      <c r="C45" s="42" t="s">
        <v>65</v>
      </c>
      <c r="D45" s="35"/>
      <c r="E45" s="6" t="s">
        <v>66</v>
      </c>
    </row>
    <row r="46" spans="2:11" x14ac:dyDescent="0.25">
      <c r="B46" s="23" t="s">
        <v>34</v>
      </c>
      <c r="C46" s="28">
        <f>E25*PI()/180</f>
        <v>0</v>
      </c>
      <c r="D46" s="7" t="s">
        <v>2</v>
      </c>
      <c r="E46" s="28">
        <f>E30*PI()/180</f>
        <v>0</v>
      </c>
      <c r="F46" s="7" t="s">
        <v>2</v>
      </c>
    </row>
    <row r="47" spans="2:11" x14ac:dyDescent="0.25">
      <c r="B47" s="23" t="s">
        <v>36</v>
      </c>
      <c r="C47" s="28">
        <f>E26*PI()/180</f>
        <v>0</v>
      </c>
      <c r="D47" s="7" t="s">
        <v>2</v>
      </c>
      <c r="E47" s="28">
        <f>E31*PI()/180</f>
        <v>0</v>
      </c>
      <c r="F47" s="7" t="s">
        <v>2</v>
      </c>
    </row>
    <row r="48" spans="2:11" x14ac:dyDescent="0.25">
      <c r="B48" s="23" t="s">
        <v>38</v>
      </c>
      <c r="C48" s="28">
        <f>E27*PI()/180</f>
        <v>1.5707963267948966</v>
      </c>
      <c r="D48" s="7" t="s">
        <v>2</v>
      </c>
      <c r="E48" s="28">
        <f>E32*PI()/180</f>
        <v>0</v>
      </c>
      <c r="F48" s="7" t="s">
        <v>2</v>
      </c>
    </row>
    <row r="50" spans="2:16" x14ac:dyDescent="0.25">
      <c r="B50" s="26" t="s">
        <v>42</v>
      </c>
      <c r="E50" s="16" t="s">
        <v>43</v>
      </c>
    </row>
    <row r="51" spans="2:16" x14ac:dyDescent="0.25">
      <c r="B51" s="26"/>
      <c r="E51" s="16"/>
      <c r="K51" s="20"/>
      <c r="L51" s="20"/>
      <c r="M51" s="20"/>
      <c r="N51" s="20"/>
      <c r="O51" s="20"/>
      <c r="P51" s="20"/>
    </row>
    <row r="52" spans="2:16" x14ac:dyDescent="0.25">
      <c r="B52" s="26"/>
      <c r="C52" s="41" t="s">
        <v>65</v>
      </c>
      <c r="E52" s="43" t="s">
        <v>66</v>
      </c>
      <c r="K52" s="20"/>
      <c r="L52" s="20"/>
      <c r="M52" s="20"/>
      <c r="N52" s="20"/>
      <c r="O52" s="20"/>
      <c r="P52" s="20"/>
    </row>
    <row r="53" spans="2:16" x14ac:dyDescent="0.25">
      <c r="B53" s="23" t="s">
        <v>34</v>
      </c>
      <c r="C53" s="7" t="str">
        <f>COMPLEX(C25*COS(C46),C25*SIN(C46))</f>
        <v>627</v>
      </c>
      <c r="D53" s="7" t="str">
        <f>IF($C$11=1,IF($C$12=1,"slug","lb"),IF($C$12=1,"kg","N"))</f>
        <v>lb</v>
      </c>
      <c r="E53" s="7" t="str">
        <f>COMPLEX(C30*COS(E46),C30*SIN(E46))</f>
        <v>0</v>
      </c>
      <c r="F53" s="7" t="str">
        <f>IF($C$11=1,IF($C$12=1,"slug-ft2","lb-ft"),IF($C$12=1,"kg-m2","N-m"))</f>
        <v>lb-ft</v>
      </c>
      <c r="K53" s="20"/>
      <c r="L53" s="20"/>
      <c r="M53" s="20"/>
      <c r="N53" s="20"/>
      <c r="O53" s="20"/>
      <c r="P53" s="20"/>
    </row>
    <row r="54" spans="2:16" x14ac:dyDescent="0.25">
      <c r="B54" s="23" t="s">
        <v>36</v>
      </c>
      <c r="C54" s="7" t="str">
        <f>COMPLEX(C26*COS(C47),C26*SIN(C47))</f>
        <v>100</v>
      </c>
      <c r="D54" s="7" t="str">
        <f>IF($C$11=1,IF($C$12=1,"slug","lb"),IF($C$12=1,"kg","N"))</f>
        <v>lb</v>
      </c>
      <c r="E54" s="7" t="str">
        <f>COMPLEX(C31*COS(E47),C31*SIN(E47))</f>
        <v>0</v>
      </c>
      <c r="F54" s="7" t="str">
        <f>IF($C$11=1,IF($C$12=1,"slug-ft2","lb-ft"),IF($C$12=1,"kg-m2","N-m"))</f>
        <v>lb-ft</v>
      </c>
      <c r="K54" s="20"/>
      <c r="L54" s="20"/>
      <c r="M54" s="20"/>
      <c r="N54" s="20"/>
      <c r="O54" s="20"/>
      <c r="P54" s="20"/>
    </row>
    <row r="55" spans="2:16" x14ac:dyDescent="0.25">
      <c r="B55" s="23" t="s">
        <v>38</v>
      </c>
      <c r="C55" s="7" t="str">
        <f>COMPLEX(C27*COS(C48),C27*SIN(C48))</f>
        <v>3.84084040613852E-14+627i</v>
      </c>
      <c r="D55" s="7" t="str">
        <f>IF($C$11=1,IF($C$12=1,"slug","lb"),IF($C$12=1,"kg","N"))</f>
        <v>lb</v>
      </c>
      <c r="E55" s="7" t="str">
        <f>COMPLEX(C32*COS(E48),C32*SIN(E48))</f>
        <v>0</v>
      </c>
      <c r="F55" s="7" t="str">
        <f>IF($C$11=1,IF($C$12=1,"slug-ft2","lb-ft"),IF($C$12=1,"kg-m2","N-m"))</f>
        <v>lb-ft</v>
      </c>
      <c r="K55" s="20"/>
      <c r="L55" s="20"/>
      <c r="M55" s="20"/>
      <c r="N55" s="20"/>
      <c r="O55" s="20"/>
      <c r="P55" s="20"/>
    </row>
    <row r="56" spans="2:16" x14ac:dyDescent="0.25">
      <c r="K56" s="20"/>
      <c r="L56" s="20"/>
      <c r="M56" s="20"/>
      <c r="N56" s="20"/>
      <c r="O56" s="20"/>
      <c r="P56" s="20"/>
    </row>
    <row r="57" spans="2:16" x14ac:dyDescent="0.25">
      <c r="B57" s="26" t="s">
        <v>44</v>
      </c>
      <c r="D57" s="29"/>
      <c r="K57" s="20"/>
      <c r="L57" s="20"/>
      <c r="M57" s="20"/>
      <c r="N57" s="20"/>
      <c r="O57" s="20"/>
      <c r="P57" s="20"/>
    </row>
    <row r="58" spans="2:16" x14ac:dyDescent="0.25">
      <c r="K58" s="20"/>
      <c r="L58" s="20"/>
      <c r="M58" s="20"/>
      <c r="N58" s="20"/>
      <c r="O58" s="20"/>
      <c r="P58" s="20"/>
    </row>
    <row r="59" spans="2:16" x14ac:dyDescent="0.25">
      <c r="B59" s="7" t="s">
        <v>47</v>
      </c>
      <c r="C59" s="30" t="str">
        <f>C53</f>
        <v>627</v>
      </c>
      <c r="D59" s="7" t="str">
        <f>IF($C$11=1,IF($C$12=1,"slug","lb"),IF($C$12=1,"kg","N"))</f>
        <v>lb</v>
      </c>
      <c r="E59" s="16" t="s">
        <v>48</v>
      </c>
      <c r="F59" s="22"/>
      <c r="G59" s="30"/>
      <c r="H59" s="28"/>
      <c r="K59" s="31"/>
      <c r="L59" s="20"/>
      <c r="M59" s="20"/>
      <c r="N59" s="31"/>
      <c r="O59" s="20"/>
      <c r="P59" s="20"/>
    </row>
    <row r="60" spans="2:16" x14ac:dyDescent="0.25">
      <c r="B60" s="7" t="s">
        <v>49</v>
      </c>
      <c r="C60" s="30" t="str">
        <f>C54</f>
        <v>100</v>
      </c>
      <c r="D60" s="7" t="str">
        <f>IF($C$11=1,IF($C$12=1,"slug","lb"),IF($C$12=1,"kg","N"))</f>
        <v>lb</v>
      </c>
      <c r="E60" s="16" t="s">
        <v>50</v>
      </c>
      <c r="F60" s="22"/>
      <c r="G60" s="30"/>
      <c r="H60" s="28"/>
      <c r="K60" s="31"/>
      <c r="L60" s="20"/>
      <c r="M60" s="20"/>
      <c r="N60" s="31"/>
      <c r="O60" s="20"/>
      <c r="P60" s="20"/>
    </row>
    <row r="61" spans="2:16" x14ac:dyDescent="0.25">
      <c r="B61" s="7" t="s">
        <v>51</v>
      </c>
      <c r="C61" s="30" t="str">
        <f>C55</f>
        <v>3.84084040613852E-14+627i</v>
      </c>
      <c r="D61" s="7" t="str">
        <f>IF($C$11=1,IF($C$12=1,"slug","lb"),IF($C$12=1,"kg","N"))</f>
        <v>lb</v>
      </c>
      <c r="E61" s="16" t="s">
        <v>52</v>
      </c>
      <c r="F61" s="81" t="s">
        <v>141</v>
      </c>
      <c r="G61" s="82"/>
      <c r="H61" s="28"/>
      <c r="K61" s="31"/>
      <c r="L61" s="20"/>
      <c r="M61" s="20"/>
      <c r="N61" s="31"/>
      <c r="O61" s="20"/>
      <c r="P61" s="20"/>
    </row>
    <row r="62" spans="2:16" x14ac:dyDescent="0.25">
      <c r="C62" s="22"/>
      <c r="D62" s="21"/>
      <c r="F62" s="22"/>
      <c r="K62" s="20"/>
      <c r="L62" s="20"/>
      <c r="M62" s="20"/>
      <c r="N62" s="20"/>
      <c r="O62" s="20"/>
      <c r="P62" s="20"/>
    </row>
    <row r="63" spans="2:16" x14ac:dyDescent="0.25">
      <c r="B63" s="7" t="s">
        <v>53</v>
      </c>
      <c r="C63" s="7" t="str">
        <f>IMSUM(E53,IMPRODUCT(C54,F41),IMPRODUCT(-1,C55,F40))</f>
        <v>-777.7+3951.354i</v>
      </c>
      <c r="D63" s="7" t="str">
        <f>IF($C$11=1,IF($C$12=1,"slug-ft2","lb-ft"),IF($C$12=1,"kg-m2","N-m"))</f>
        <v>lb-ft</v>
      </c>
      <c r="E63" s="79" t="s">
        <v>54</v>
      </c>
      <c r="F63" s="80"/>
      <c r="G63" s="30"/>
      <c r="H63" s="20" t="str">
        <f>IMSUM(E53,IMPRODUCT(-1,C54,H41),IMPRODUCT(C55,H40))</f>
        <v>-777.7+3951.354i</v>
      </c>
      <c r="I63" s="33" t="s">
        <v>143</v>
      </c>
      <c r="K63" s="20"/>
      <c r="L63" s="20"/>
      <c r="M63" s="33"/>
      <c r="N63" s="31"/>
      <c r="O63" s="20"/>
      <c r="P63" s="20"/>
    </row>
    <row r="64" spans="2:16" x14ac:dyDescent="0.25">
      <c r="B64" s="7" t="s">
        <v>55</v>
      </c>
      <c r="C64" s="7" t="str">
        <f>IMSUM(E54,IMPRODUCT(-1,C53,F41),IMPRODUCT(C55,F39))</f>
        <v>4876.179-1254i</v>
      </c>
      <c r="D64" s="7" t="str">
        <f>IF($C$11=1,IF($C$12=1,"slug-ft2","lb-ft"),IF($C$12=1,"kg-m2","N-m"))</f>
        <v>lb-ft</v>
      </c>
      <c r="E64" s="79" t="s">
        <v>56</v>
      </c>
      <c r="F64" s="80"/>
      <c r="G64" s="30"/>
      <c r="H64" s="20" t="str">
        <f>IMSUM(E54,IMPRODUCT(C53,H41),IMPRODUCT(-1,C55,H39))</f>
        <v>4876.179-1254i</v>
      </c>
      <c r="I64" s="33" t="s">
        <v>144</v>
      </c>
      <c r="K64" s="20"/>
      <c r="L64" s="20"/>
      <c r="M64" s="33"/>
      <c r="N64" s="31"/>
      <c r="O64" s="20"/>
      <c r="P64" s="20"/>
    </row>
    <row r="65" spans="2:16" x14ac:dyDescent="0.25">
      <c r="B65" s="7" t="s">
        <v>57</v>
      </c>
      <c r="C65" s="7" t="str">
        <f>IMSUM(E55,IMPRODUCT(C53,F40),IMPRODUCT(-1,C54,F39))</f>
        <v>-3751.354</v>
      </c>
      <c r="D65" s="7" t="str">
        <f>IF($C$11=1,IF($C$12=1,"slug-ft2","lb-ft"),IF($C$12=1,"kg-m2","N-m"))</f>
        <v>lb-ft</v>
      </c>
      <c r="E65" s="79" t="s">
        <v>58</v>
      </c>
      <c r="F65" s="80"/>
      <c r="G65" s="30"/>
      <c r="H65" s="20" t="str">
        <f>IMSUM(E55,IMPRODUCT(-1,C53,H40),IMPRODUCT(C54,H39))</f>
        <v>-3751.354</v>
      </c>
      <c r="I65" s="33" t="s">
        <v>145</v>
      </c>
      <c r="K65" s="20"/>
      <c r="L65" s="20"/>
      <c r="M65" s="33"/>
      <c r="N65" s="31"/>
      <c r="O65" s="20"/>
      <c r="P65" s="20"/>
    </row>
    <row r="66" spans="2:16" x14ac:dyDescent="0.25">
      <c r="E66" s="32"/>
      <c r="F66" s="22"/>
      <c r="G66" s="30"/>
      <c r="H66" s="28"/>
      <c r="K66" s="20"/>
      <c r="L66" s="20"/>
      <c r="M66" s="33"/>
      <c r="N66" s="31"/>
      <c r="O66" s="20"/>
      <c r="P66" s="20"/>
    </row>
    <row r="67" spans="2:16" x14ac:dyDescent="0.25">
      <c r="B67" s="13" t="s">
        <v>62</v>
      </c>
      <c r="E67" s="32"/>
      <c r="F67" s="74" t="s">
        <v>132</v>
      </c>
      <c r="G67" s="75"/>
      <c r="H67" s="75"/>
      <c r="I67" s="76"/>
      <c r="K67" s="20"/>
      <c r="L67" s="20"/>
      <c r="M67" s="33"/>
      <c r="N67" s="31"/>
      <c r="O67" s="20"/>
      <c r="P67" s="20"/>
    </row>
    <row r="68" spans="2:16" x14ac:dyDescent="0.25">
      <c r="E68" s="32"/>
      <c r="F68" s="22"/>
      <c r="G68" s="30"/>
      <c r="H68" s="28"/>
      <c r="K68" s="20"/>
      <c r="L68" s="20"/>
      <c r="M68" s="33"/>
      <c r="N68" s="31"/>
      <c r="O68" s="20"/>
      <c r="P68" s="20"/>
    </row>
    <row r="69" spans="2:16" x14ac:dyDescent="0.25">
      <c r="C69" s="41" t="s">
        <v>65</v>
      </c>
      <c r="E69" s="32" t="s">
        <v>66</v>
      </c>
      <c r="F69" s="22"/>
      <c r="G69" s="30"/>
      <c r="H69" s="28"/>
      <c r="K69" s="20"/>
      <c r="L69" s="20"/>
      <c r="M69" s="33"/>
      <c r="N69" s="31"/>
      <c r="O69" s="20"/>
      <c r="P69" s="20"/>
    </row>
    <row r="70" spans="2:16" x14ac:dyDescent="0.25">
      <c r="B70" s="7" t="s">
        <v>47</v>
      </c>
      <c r="C70" s="30" t="str">
        <f>C59</f>
        <v>627</v>
      </c>
      <c r="D70" s="7" t="str">
        <f>IF($C$11=1,IF($C$12=1,"slug","lb"),IF($C$12=1,"kg","N"))</f>
        <v>lb</v>
      </c>
      <c r="E70" s="7" t="str">
        <f>C63</f>
        <v>-777.7+3951.354i</v>
      </c>
      <c r="F70" s="7" t="str">
        <f>IF($C$11=1,IF($C$12=1,"slug-ft2","lb-ft"),IF($C$12=1,"kg-m2","N-m"))</f>
        <v>lb-ft</v>
      </c>
      <c r="G70" s="30"/>
      <c r="L70" s="20"/>
      <c r="M70" s="33"/>
      <c r="N70" s="31"/>
      <c r="O70" s="20"/>
      <c r="P70" s="20"/>
    </row>
    <row r="71" spans="2:16" x14ac:dyDescent="0.25">
      <c r="B71" s="7" t="s">
        <v>49</v>
      </c>
      <c r="C71" s="30" t="str">
        <f>C60</f>
        <v>100</v>
      </c>
      <c r="D71" s="7" t="str">
        <f>IF($C$11=1,IF($C$12=1,"slug","lb"),IF($C$12=1,"kg","N"))</f>
        <v>lb</v>
      </c>
      <c r="E71" s="7" t="str">
        <f>C64</f>
        <v>4876.179-1254i</v>
      </c>
      <c r="F71" s="7" t="str">
        <f>IF($C$11=1,IF($C$12=1,"slug-ft2","lb-ft"),IF($C$12=1,"kg-m2","N-m"))</f>
        <v>lb-ft</v>
      </c>
      <c r="G71" s="30"/>
      <c r="H71" s="28"/>
      <c r="K71" s="20"/>
      <c r="L71" s="20"/>
      <c r="M71" s="33"/>
      <c r="N71" s="31"/>
      <c r="O71" s="20"/>
      <c r="P71" s="20"/>
    </row>
    <row r="72" spans="2:16" x14ac:dyDescent="0.25">
      <c r="B72" s="7" t="s">
        <v>51</v>
      </c>
      <c r="C72" s="30" t="str">
        <f>IMPRODUCT(-1,C61)</f>
        <v>-3.84084040613852E-14-627i</v>
      </c>
      <c r="D72" s="7" t="str">
        <f>IF($C$11=1,IF($C$12=1,"slug","lb"),IF($C$12=1,"kg","N"))</f>
        <v>lb</v>
      </c>
      <c r="E72" s="7" t="str">
        <f>IMPRODUCT(-1,C65)</f>
        <v>3751.354</v>
      </c>
      <c r="F72" s="7" t="str">
        <f>IF($C$11=1,IF($C$12=1,"slug-ft2","lb-ft"),IF($C$12=1,"kg-m2","N-m"))</f>
        <v>lb-ft</v>
      </c>
      <c r="G72" s="30"/>
      <c r="L72" s="20"/>
      <c r="M72" s="33"/>
      <c r="N72" s="31"/>
      <c r="O72" s="20"/>
      <c r="P72" s="20"/>
    </row>
    <row r="73" spans="2:16" ht="15.75" thickBot="1" x14ac:dyDescent="0.3">
      <c r="B73" s="9"/>
      <c r="C73" s="9"/>
      <c r="D73" s="9"/>
      <c r="E73" s="9"/>
      <c r="F73" s="9"/>
      <c r="G73" s="9"/>
      <c r="H73" s="9"/>
      <c r="I73" s="9"/>
      <c r="K73" s="20"/>
      <c r="L73" s="20"/>
      <c r="M73" s="20"/>
      <c r="N73" s="20"/>
      <c r="O73" s="20"/>
      <c r="P73" s="20"/>
    </row>
    <row r="74" spans="2:16" x14ac:dyDescent="0.25">
      <c r="B74" s="11"/>
      <c r="C74" s="11"/>
      <c r="D74" s="11"/>
      <c r="E74" s="11"/>
      <c r="F74" s="11"/>
      <c r="G74" s="11"/>
      <c r="H74" s="11"/>
      <c r="I74" s="11"/>
    </row>
    <row r="75" spans="2:16" x14ac:dyDescent="0.25">
      <c r="B75" s="12" t="s">
        <v>59</v>
      </c>
      <c r="H75" s="8"/>
    </row>
    <row r="77" spans="2:16" x14ac:dyDescent="0.25">
      <c r="C77" s="7" t="s">
        <v>45</v>
      </c>
      <c r="E77" s="7" t="s">
        <v>46</v>
      </c>
      <c r="I77" s="38"/>
    </row>
    <row r="78" spans="2:16" x14ac:dyDescent="0.25">
      <c r="B78" s="7" t="s">
        <v>47</v>
      </c>
      <c r="C78" s="34">
        <f>IMABS(C70)</f>
        <v>627</v>
      </c>
      <c r="D78" s="7" t="str">
        <f>IF($C$11=1,IF($C$12=1,"slug","lb"),IF($C$12=1,"kg","N"))</f>
        <v>lb</v>
      </c>
      <c r="E78" s="39">
        <f>IF(C78=0,0,IMARGUMENT(C70)*180/PI())</f>
        <v>0</v>
      </c>
      <c r="F78" s="38" t="s">
        <v>22</v>
      </c>
      <c r="J78" s="38"/>
    </row>
    <row r="79" spans="2:16" x14ac:dyDescent="0.25">
      <c r="B79" s="7" t="s">
        <v>49</v>
      </c>
      <c r="C79" s="34">
        <f>IMABS(C71)</f>
        <v>100</v>
      </c>
      <c r="D79" s="7" t="str">
        <f>IF($C$11=1,IF($C$12=1,"slug","lb"),IF($C$12=1,"kg","N"))</f>
        <v>lb</v>
      </c>
      <c r="E79" s="39">
        <f>IF(C79=0,0,IMARGUMENT(C71)*180/PI())</f>
        <v>0</v>
      </c>
      <c r="F79" s="38" t="s">
        <v>22</v>
      </c>
      <c r="J79" s="38"/>
    </row>
    <row r="80" spans="2:16" x14ac:dyDescent="0.25">
      <c r="B80" s="7" t="s">
        <v>51</v>
      </c>
      <c r="C80" s="34">
        <f>IMABS(C72)</f>
        <v>627</v>
      </c>
      <c r="D80" s="7" t="str">
        <f>IF($C$11=1,IF($C$12=1,"slug","lb"),IF($C$12=1,"kg","N"))</f>
        <v>lb</v>
      </c>
      <c r="E80" s="39">
        <f>IF(C80=0,0,IMARGUMENT(C72)*180/PI())</f>
        <v>-90</v>
      </c>
      <c r="F80" s="38" t="s">
        <v>22</v>
      </c>
      <c r="J80" s="38"/>
    </row>
    <row r="82" spans="2:10" x14ac:dyDescent="0.25">
      <c r="B82" s="7" t="s">
        <v>53</v>
      </c>
      <c r="C82" s="34">
        <f>IMABS(E70)</f>
        <v>4027.159758851888</v>
      </c>
      <c r="D82" s="7" t="str">
        <f>IF($C$11=1,IF($C$12=1,"slug-ft2","lb-ft"),IF($C$12=1,"kg-m2","N-m"))</f>
        <v>lb-ft</v>
      </c>
      <c r="E82" s="39">
        <f>IF(C82=0,0,IMARGUMENT(E70)*180/PI())</f>
        <v>101.13455625643726</v>
      </c>
      <c r="F82" s="38" t="s">
        <v>22</v>
      </c>
      <c r="J82" s="38"/>
    </row>
    <row r="83" spans="2:10" x14ac:dyDescent="0.25">
      <c r="B83" s="7" t="s">
        <v>55</v>
      </c>
      <c r="C83" s="34">
        <f>IMABS(E71)</f>
        <v>5034.8423649644683</v>
      </c>
      <c r="D83" s="7" t="str">
        <f>IF($C$11=1,IF($C$12=1,"slug-ft2","lb-ft"),IF($C$12=1,"kg-m2","N-m"))</f>
        <v>lb-ft</v>
      </c>
      <c r="E83" s="39">
        <f>IF(C83=0,0,IMARGUMENT(E71)*180/PI())</f>
        <v>-14.422155199760725</v>
      </c>
      <c r="F83" s="38" t="s">
        <v>22</v>
      </c>
      <c r="J83" s="38"/>
    </row>
    <row r="84" spans="2:10" x14ac:dyDescent="0.25">
      <c r="B84" s="7" t="s">
        <v>57</v>
      </c>
      <c r="C84" s="34">
        <f>IMABS(E72)</f>
        <v>3751.3539999999998</v>
      </c>
      <c r="D84" s="7" t="str">
        <f>IF($C$11=1,IF($C$12=1,"slug-ft2","lb-ft"),IF($C$12=1,"kg-m2","N-m"))</f>
        <v>lb-ft</v>
      </c>
      <c r="E84" s="39">
        <f>IF(C84=0,0,IMARGUMENT(E72)*180/PI())</f>
        <v>0</v>
      </c>
      <c r="F84" s="38" t="s">
        <v>22</v>
      </c>
      <c r="J84" s="38"/>
    </row>
    <row r="85" spans="2:10" ht="15.75" thickBot="1" x14ac:dyDescent="0.3">
      <c r="B85" s="9"/>
      <c r="C85" s="9"/>
      <c r="D85" s="9"/>
      <c r="E85" s="9"/>
      <c r="F85" s="9"/>
      <c r="G85" s="9"/>
      <c r="H85" s="9"/>
      <c r="I85" s="9"/>
    </row>
    <row r="86" spans="2:10" x14ac:dyDescent="0.25">
      <c r="B86" s="11"/>
      <c r="C86" s="11"/>
      <c r="D86" s="11"/>
      <c r="E86" s="11"/>
      <c r="F86" s="11"/>
      <c r="G86" s="11"/>
      <c r="H86" s="11"/>
      <c r="I86" s="11"/>
    </row>
  </sheetData>
  <mergeCells count="1">
    <mergeCell ref="C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3119-A776-42DF-B15F-CDC6264A03C9}">
  <dimension ref="B2:M72"/>
  <sheetViews>
    <sheetView workbookViewId="0">
      <selection activeCell="C5" sqref="C5"/>
    </sheetView>
  </sheetViews>
  <sheetFormatPr defaultRowHeight="15" x14ac:dyDescent="0.25"/>
  <cols>
    <col min="1" max="1" width="9.140625" style="45"/>
    <col min="2" max="2" width="5.85546875" style="45" customWidth="1"/>
    <col min="3" max="3" width="32.42578125" style="45" customWidth="1"/>
    <col min="4" max="4" width="14.5703125" style="45" customWidth="1"/>
    <col min="5" max="7" width="12.7109375" style="45" customWidth="1"/>
    <col min="8" max="16384" width="9.140625" style="45"/>
  </cols>
  <sheetData>
    <row r="2" spans="2:13" x14ac:dyDescent="0.25">
      <c r="B2" s="44" t="s">
        <v>67</v>
      </c>
      <c r="M2" s="44" t="s">
        <v>136</v>
      </c>
    </row>
    <row r="3" spans="2:13" x14ac:dyDescent="0.25">
      <c r="B3" s="91" t="s">
        <v>160</v>
      </c>
      <c r="M3" s="44" t="s">
        <v>137</v>
      </c>
    </row>
    <row r="4" spans="2:13" x14ac:dyDescent="0.25">
      <c r="B4" s="44"/>
    </row>
    <row r="5" spans="2:13" x14ac:dyDescent="0.25">
      <c r="B5" s="45" t="s">
        <v>68</v>
      </c>
      <c r="D5" s="45" t="s">
        <v>69</v>
      </c>
      <c r="E5" s="46"/>
      <c r="M5" s="46" t="s">
        <v>154</v>
      </c>
    </row>
    <row r="6" spans="2:13" x14ac:dyDescent="0.25">
      <c r="B6" s="45" t="s">
        <v>70</v>
      </c>
      <c r="D6" s="45" t="s">
        <v>71</v>
      </c>
      <c r="M6" s="77" t="s">
        <v>138</v>
      </c>
    </row>
    <row r="7" spans="2:13" x14ac:dyDescent="0.25">
      <c r="B7" s="45" t="s">
        <v>72</v>
      </c>
      <c r="D7" s="45" t="s">
        <v>73</v>
      </c>
      <c r="M7" s="77" t="s">
        <v>139</v>
      </c>
    </row>
    <row r="8" spans="2:13" x14ac:dyDescent="0.25">
      <c r="M8" s="77" t="s">
        <v>140</v>
      </c>
    </row>
    <row r="9" spans="2:13" x14ac:dyDescent="0.25">
      <c r="B9" s="46" t="s">
        <v>78</v>
      </c>
    </row>
    <row r="10" spans="2:13" x14ac:dyDescent="0.25">
      <c r="M10" s="46" t="s">
        <v>155</v>
      </c>
    </row>
    <row r="11" spans="2:13" x14ac:dyDescent="0.25">
      <c r="C11" s="90" t="s">
        <v>156</v>
      </c>
      <c r="D11" s="14">
        <v>1</v>
      </c>
      <c r="E11" s="36" t="str">
        <f>IF(D11=1,"imperial","metric")</f>
        <v>imperial</v>
      </c>
      <c r="F11" s="16" t="s">
        <v>8</v>
      </c>
      <c r="H11" s="48"/>
      <c r="I11" s="49"/>
      <c r="M11" s="45" t="s">
        <v>81</v>
      </c>
    </row>
    <row r="12" spans="2:13" x14ac:dyDescent="0.25">
      <c r="D12" s="88" t="b">
        <f>IF(D11=1,TRUE,FALSE)</f>
        <v>1</v>
      </c>
      <c r="M12" s="45" t="s">
        <v>82</v>
      </c>
    </row>
    <row r="13" spans="2:13" x14ac:dyDescent="0.25">
      <c r="C13" s="45" t="s">
        <v>79</v>
      </c>
      <c r="D13" s="47">
        <f>4*3600</f>
        <v>14400</v>
      </c>
      <c r="E13" s="45" t="s">
        <v>80</v>
      </c>
      <c r="F13" s="85" t="s">
        <v>146</v>
      </c>
      <c r="M13" s="45" t="s">
        <v>83</v>
      </c>
    </row>
    <row r="14" spans="2:13" x14ac:dyDescent="0.25">
      <c r="C14" s="45" t="s">
        <v>4</v>
      </c>
      <c r="D14" s="47">
        <f>3580/60</f>
        <v>59.666666666666664</v>
      </c>
      <c r="E14" s="45" t="s">
        <v>3</v>
      </c>
      <c r="M14" s="45" t="s">
        <v>85</v>
      </c>
    </row>
    <row r="16" spans="2:13" hidden="1" x14ac:dyDescent="0.25">
      <c r="C16" s="45" t="s">
        <v>84</v>
      </c>
    </row>
    <row r="17" spans="2:13" hidden="1" x14ac:dyDescent="0.25">
      <c r="M17" s="46" t="s">
        <v>153</v>
      </c>
    </row>
    <row r="18" spans="2:13" hidden="1" x14ac:dyDescent="0.25">
      <c r="C18" s="45" t="s">
        <v>86</v>
      </c>
      <c r="D18" s="50">
        <v>2.492E-6</v>
      </c>
      <c r="E18" s="45" t="str">
        <f>IF(D$12,"ft","m")</f>
        <v>ft</v>
      </c>
    </row>
    <row r="19" spans="2:13" hidden="1" x14ac:dyDescent="0.25">
      <c r="C19" s="45" t="s">
        <v>87</v>
      </c>
      <c r="D19" s="50">
        <v>1.0690000000000001E-6</v>
      </c>
      <c r="E19" s="45" t="str">
        <f>IF(D$12,"ft","m")</f>
        <v>ft</v>
      </c>
      <c r="M19" s="45" t="s">
        <v>74</v>
      </c>
    </row>
    <row r="20" spans="2:13" hidden="1" x14ac:dyDescent="0.25">
      <c r="C20" s="45" t="s">
        <v>88</v>
      </c>
      <c r="D20" s="50">
        <v>2.1409999999999999E-6</v>
      </c>
      <c r="E20" s="45" t="str">
        <f>IF(D$12,"ft","m")</f>
        <v>ft</v>
      </c>
      <c r="M20" s="45" t="s">
        <v>75</v>
      </c>
    </row>
    <row r="21" spans="2:13" hidden="1" x14ac:dyDescent="0.25">
      <c r="M21" s="86" t="s">
        <v>147</v>
      </c>
    </row>
    <row r="22" spans="2:13" hidden="1" x14ac:dyDescent="0.25">
      <c r="B22" s="46" t="s">
        <v>89</v>
      </c>
    </row>
    <row r="23" spans="2:13" hidden="1" x14ac:dyDescent="0.25">
      <c r="M23" s="86" t="s">
        <v>148</v>
      </c>
    </row>
    <row r="24" spans="2:13" hidden="1" x14ac:dyDescent="0.25">
      <c r="C24" s="45" t="s">
        <v>90</v>
      </c>
      <c r="D24" s="51">
        <f>D14*2*PI()</f>
        <v>374.89672332838194</v>
      </c>
      <c r="E24" s="45" t="s">
        <v>1</v>
      </c>
      <c r="G24" s="52" t="s">
        <v>91</v>
      </c>
      <c r="M24" s="45" t="s">
        <v>76</v>
      </c>
    </row>
    <row r="25" spans="2:13" hidden="1" x14ac:dyDescent="0.25">
      <c r="M25" s="45" t="s">
        <v>77</v>
      </c>
    </row>
    <row r="26" spans="2:13" hidden="1" x14ac:dyDescent="0.25">
      <c r="C26" s="45" t="s">
        <v>92</v>
      </c>
    </row>
    <row r="27" spans="2:13" hidden="1" x14ac:dyDescent="0.25"/>
    <row r="28" spans="2:13" hidden="1" x14ac:dyDescent="0.25">
      <c r="C28" s="45" t="s">
        <v>93</v>
      </c>
      <c r="D28" s="53">
        <f>SQRT(2)/2*D18*D24^2</f>
        <v>0.24766026277733699</v>
      </c>
      <c r="E28" s="45" t="str">
        <f>IF(D$12,"ft/s2","m/s2")</f>
        <v>ft/s2</v>
      </c>
      <c r="G28" s="87" t="s">
        <v>149</v>
      </c>
    </row>
    <row r="29" spans="2:13" hidden="1" x14ac:dyDescent="0.25">
      <c r="C29" s="45" t="s">
        <v>94</v>
      </c>
      <c r="D29" s="53">
        <f>SQRT(2)/2*D19*D24^2</f>
        <v>0.10623949474677899</v>
      </c>
      <c r="E29" s="45" t="str">
        <f>IF(D$12,"ft/s2","m/s2")</f>
        <v>ft/s2</v>
      </c>
      <c r="G29" s="87" t="s">
        <v>151</v>
      </c>
    </row>
    <row r="30" spans="2:13" hidden="1" x14ac:dyDescent="0.25">
      <c r="C30" s="45" t="s">
        <v>95</v>
      </c>
      <c r="D30" s="53">
        <f>SQRT(2)/2*D20*D24^2</f>
        <v>0.21277713587731881</v>
      </c>
      <c r="E30" s="45" t="str">
        <f>IF(D$12,"ft/s2","m/s2")</f>
        <v>ft/s2</v>
      </c>
      <c r="G30" s="87" t="s">
        <v>152</v>
      </c>
    </row>
    <row r="31" spans="2:13" hidden="1" x14ac:dyDescent="0.25"/>
    <row r="32" spans="2:13" x14ac:dyDescent="0.25">
      <c r="B32" s="46" t="s">
        <v>96</v>
      </c>
      <c r="F32" s="45" t="s">
        <v>97</v>
      </c>
    </row>
    <row r="34" spans="3:11" x14ac:dyDescent="0.25">
      <c r="C34" s="89" t="s">
        <v>159</v>
      </c>
      <c r="D34" s="45">
        <f>IF(D12,9.84,3)</f>
        <v>9.84</v>
      </c>
      <c r="E34" s="45" t="str">
        <f>IF(D$12,"ft/s2","m/s2")</f>
        <v>ft/s2</v>
      </c>
      <c r="G34" s="89" t="s">
        <v>157</v>
      </c>
    </row>
    <row r="35" spans="3:11" x14ac:dyDescent="0.25">
      <c r="C35" s="45" t="s">
        <v>98</v>
      </c>
      <c r="D35" s="45">
        <f>IF(D13&lt;600,C34,D34*SQRT(600/D13))</f>
        <v>2.0085815890822061</v>
      </c>
      <c r="E35" s="45" t="str">
        <f>IF(D$12,"ft/s2","m/s2")</f>
        <v>ft/s2</v>
      </c>
      <c r="G35" s="89" t="s">
        <v>158</v>
      </c>
    </row>
    <row r="37" spans="3:11" x14ac:dyDescent="0.25">
      <c r="C37" s="45" t="s">
        <v>99</v>
      </c>
      <c r="F37" s="54" t="s">
        <v>100</v>
      </c>
    </row>
    <row r="38" spans="3:11" x14ac:dyDescent="0.25">
      <c r="C38" s="45" t="s">
        <v>101</v>
      </c>
      <c r="D38" s="55">
        <v>1.4</v>
      </c>
    </row>
    <row r="39" spans="3:11" x14ac:dyDescent="0.25">
      <c r="C39" s="45" t="s">
        <v>102</v>
      </c>
      <c r="D39" s="55">
        <v>1</v>
      </c>
    </row>
    <row r="41" spans="3:11" x14ac:dyDescent="0.25">
      <c r="C41" s="45" t="s">
        <v>103</v>
      </c>
      <c r="F41" s="54" t="s">
        <v>150</v>
      </c>
    </row>
    <row r="42" spans="3:11" x14ac:dyDescent="0.25">
      <c r="C42" s="45" t="s">
        <v>108</v>
      </c>
      <c r="D42" s="62">
        <f>IF(D14&lt;2,1,2/D14)</f>
        <v>3.3519553072625698E-2</v>
      </c>
      <c r="G42" s="63"/>
    </row>
    <row r="43" spans="3:11" x14ac:dyDescent="0.25">
      <c r="C43" s="45" t="s">
        <v>112</v>
      </c>
      <c r="D43" s="62">
        <f>IF(D14&lt;2,0.4,IF(D14&lt;5,D14/5,IF(D14&lt;=16,1,16/D14)))</f>
        <v>0.26815642458100558</v>
      </c>
      <c r="G43" s="63"/>
      <c r="H43" s="56" t="s">
        <v>104</v>
      </c>
      <c r="I43" s="57" t="s">
        <v>105</v>
      </c>
      <c r="J43" s="58" t="s">
        <v>106</v>
      </c>
    </row>
    <row r="44" spans="3:11" x14ac:dyDescent="0.25">
      <c r="H44" s="59" t="s">
        <v>107</v>
      </c>
      <c r="I44" s="60">
        <v>1</v>
      </c>
      <c r="J44" s="61">
        <v>0.4</v>
      </c>
    </row>
    <row r="45" spans="3:11" x14ac:dyDescent="0.25">
      <c r="C45" s="45" t="s">
        <v>96</v>
      </c>
      <c r="H45" s="59" t="s">
        <v>109</v>
      </c>
      <c r="I45" s="60" t="s">
        <v>110</v>
      </c>
      <c r="J45" s="61" t="s">
        <v>111</v>
      </c>
    </row>
    <row r="46" spans="3:11" x14ac:dyDescent="0.25">
      <c r="H46" s="59" t="s">
        <v>113</v>
      </c>
      <c r="I46" s="60" t="s">
        <v>110</v>
      </c>
      <c r="J46" s="61">
        <v>1</v>
      </c>
    </row>
    <row r="47" spans="3:11" x14ac:dyDescent="0.25">
      <c r="C47" s="45" t="s">
        <v>116</v>
      </c>
      <c r="D47" s="78">
        <f>D35/(D38*D42)</f>
        <v>42.801917195918442</v>
      </c>
      <c r="E47" s="45" t="str">
        <f>IF(D$12,"ft/s2","m/s2")</f>
        <v>ft/s2</v>
      </c>
      <c r="F47" s="52" t="s">
        <v>117</v>
      </c>
      <c r="H47" s="64" t="s">
        <v>114</v>
      </c>
      <c r="I47" s="65" t="s">
        <v>110</v>
      </c>
      <c r="J47" s="66" t="s">
        <v>115</v>
      </c>
      <c r="K47" s="85"/>
    </row>
    <row r="48" spans="3:11" x14ac:dyDescent="0.25">
      <c r="C48" s="45" t="s">
        <v>118</v>
      </c>
      <c r="D48" s="78">
        <f>D35/(D38*D42)</f>
        <v>42.801917195918442</v>
      </c>
      <c r="E48" s="45" t="str">
        <f>IF(D$12,"ft/s2","m/s2")</f>
        <v>ft/s2</v>
      </c>
      <c r="F48" s="52" t="s">
        <v>119</v>
      </c>
      <c r="K48" s="85"/>
    </row>
    <row r="49" spans="2:11" x14ac:dyDescent="0.25">
      <c r="C49" s="45" t="s">
        <v>120</v>
      </c>
      <c r="D49" s="78">
        <f>D35/(D39*D43)</f>
        <v>7.4903355092857273</v>
      </c>
      <c r="E49" s="45" t="str">
        <f>IF(D$12,"ft/s2","m/s2")</f>
        <v>ft/s2</v>
      </c>
      <c r="F49" s="52" t="s">
        <v>121</v>
      </c>
      <c r="K49" s="85"/>
    </row>
    <row r="51" spans="2:11" x14ac:dyDescent="0.25">
      <c r="B51" s="46" t="s">
        <v>122</v>
      </c>
    </row>
    <row r="53" spans="2:11" x14ac:dyDescent="0.25">
      <c r="C53" s="45" t="s">
        <v>123</v>
      </c>
      <c r="D53" s="67">
        <f>D28/D47</f>
        <v>5.78619554922539E-3</v>
      </c>
      <c r="E53" s="52" t="s">
        <v>0</v>
      </c>
    </row>
    <row r="54" spans="2:11" x14ac:dyDescent="0.25">
      <c r="C54" s="45" t="s">
        <v>124</v>
      </c>
      <c r="D54" s="67">
        <f>D29/D48</f>
        <v>2.4821200008515016E-3</v>
      </c>
      <c r="E54" s="52" t="s">
        <v>0</v>
      </c>
    </row>
    <row r="55" spans="2:11" x14ac:dyDescent="0.25">
      <c r="C55" s="45" t="s">
        <v>125</v>
      </c>
      <c r="D55" s="67">
        <f>D30/D49</f>
        <v>2.8406889866754322E-2</v>
      </c>
      <c r="E55" s="52" t="s">
        <v>0</v>
      </c>
    </row>
    <row r="59" spans="2:11" x14ac:dyDescent="0.25">
      <c r="E59" s="52"/>
    </row>
    <row r="60" spans="2:11" x14ac:dyDescent="0.25">
      <c r="E60" s="52"/>
      <c r="F60" s="52"/>
      <c r="G60" s="52"/>
    </row>
    <row r="62" spans="2:11" x14ac:dyDescent="0.25">
      <c r="E62" s="68"/>
      <c r="F62" s="69"/>
      <c r="G62" s="69"/>
    </row>
    <row r="64" spans="2:11" x14ac:dyDescent="0.25">
      <c r="E64" s="70"/>
      <c r="F64" s="70"/>
      <c r="G64" s="70"/>
      <c r="I64" s="71"/>
      <c r="K64" s="71"/>
    </row>
    <row r="65" spans="5:11" x14ac:dyDescent="0.25">
      <c r="E65" s="70"/>
      <c r="F65" s="70"/>
      <c r="G65" s="70"/>
      <c r="I65" s="71"/>
      <c r="K65" s="71"/>
    </row>
    <row r="66" spans="5:11" x14ac:dyDescent="0.25">
      <c r="E66" s="70"/>
      <c r="F66" s="70"/>
      <c r="G66" s="70"/>
      <c r="I66" s="71"/>
      <c r="K66" s="71"/>
    </row>
    <row r="67" spans="5:11" x14ac:dyDescent="0.25">
      <c r="E67" s="70"/>
      <c r="F67" s="70"/>
      <c r="G67" s="70"/>
      <c r="I67" s="71"/>
      <c r="K67" s="71"/>
    </row>
    <row r="68" spans="5:11" x14ac:dyDescent="0.25">
      <c r="E68" s="70"/>
      <c r="F68" s="70"/>
      <c r="G68" s="70"/>
      <c r="I68" s="71"/>
      <c r="K68" s="71"/>
    </row>
    <row r="69" spans="5:11" x14ac:dyDescent="0.25">
      <c r="E69" s="70"/>
      <c r="F69" s="70"/>
      <c r="G69" s="70"/>
      <c r="I69" s="71"/>
      <c r="K69" s="71"/>
    </row>
    <row r="70" spans="5:11" x14ac:dyDescent="0.25">
      <c r="E70" s="70"/>
      <c r="F70" s="70"/>
      <c r="G70" s="70"/>
      <c r="I70" s="71"/>
      <c r="K70" s="71"/>
    </row>
    <row r="71" spans="5:11" x14ac:dyDescent="0.25">
      <c r="E71" s="70"/>
      <c r="F71" s="70"/>
      <c r="G71" s="70"/>
      <c r="I71" s="71"/>
      <c r="K71" s="71"/>
    </row>
    <row r="72" spans="5:11" x14ac:dyDescent="0.25">
      <c r="E72" s="70"/>
      <c r="F72" s="70"/>
      <c r="G72" s="70"/>
      <c r="I72" s="71"/>
      <c r="K72" s="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Phased Loading</vt:lpstr>
      <vt:lpstr>Human Tolerance</vt:lpstr>
    </vt:vector>
  </TitlesOfParts>
  <Company>Houston,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Bounds</dc:creator>
  <cp:lastModifiedBy>Will Bounds</cp:lastModifiedBy>
  <cp:lastPrinted>2015-10-15T11:14:33Z</cp:lastPrinted>
  <dcterms:created xsi:type="dcterms:W3CDTF">1997-02-09T16:59:21Z</dcterms:created>
  <dcterms:modified xsi:type="dcterms:W3CDTF">2025-05-22T14:03:42Z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2024-02-20T19:01:36Z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852d904b-6acb-45f1-8950-bb97b4e4240c</vt:lpwstr>
  </property>
  <property fmtid="{D5CDD505-2E9C-101B-9397-08002B2CF9AE}" pid="8" name="MSIP_Label_e9d746c0-3369-42be-bf83-6862f3f56ae7_ContentBits">
    <vt:lpwstr>0</vt:lpwstr>
  </property>
</Properties>
</file>